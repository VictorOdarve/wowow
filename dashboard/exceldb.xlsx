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xampp\htdocs\mmm\dashboard\"/>
    </mc:Choice>
  </mc:AlternateContent>
  <xr:revisionPtr revIDLastSave="0" documentId="8_{8306C2DF-B5A5-43DB-B52C-4F1C1CF41EC4}" xr6:coauthVersionLast="47" xr6:coauthVersionMax="47" xr10:uidLastSave="{00000000-0000-0000-0000-000000000000}"/>
  <bookViews>
    <workbookView xWindow="-120" yWindow="-120" windowWidth="29040" windowHeight="15720" firstSheet="2" activeTab="7" xr2:uid="{04E006AD-CA19-4169-B32F-33C82BBDCB69}"/>
  </bookViews>
  <sheets>
    <sheet name="pending_patient" sheetId="7" r:id="rId1"/>
    <sheet name="patient_prescription" sheetId="6" r:id="rId2"/>
    <sheet name="patient_diagnosis" sheetId="5" r:id="rId3"/>
    <sheet name="Sheet4" sheetId="10" r:id="rId4"/>
    <sheet name="consultation_form" sheetId="4" r:id="rId5"/>
    <sheet name="assessments" sheetId="3" r:id="rId6"/>
    <sheet name="appointments" sheetId="2" r:id="rId7"/>
    <sheet name="dashboard ni bay" sheetId="8" r:id="rId8"/>
    <sheet name="Sheet5" sheetId="11" r:id="rId9"/>
  </sheets>
  <definedNames>
    <definedName name="ExternalData_1" localSheetId="6" hidden="1">appointments!$A$1:$N$5</definedName>
    <definedName name="ExternalData_2" localSheetId="5" hidden="1">assessments!$A$1:$K$5</definedName>
    <definedName name="ExternalData_3" localSheetId="4" hidden="1">'consultation_form'!$A$1:$O$6</definedName>
    <definedName name="ExternalData_4" localSheetId="2" hidden="1">patient_diagnosis!$A$1:$J$5</definedName>
    <definedName name="ExternalData_5" localSheetId="1" hidden="1">patient_prescription!$A$1:$L$5</definedName>
    <definedName name="ExternalData_6" localSheetId="0" hidden="1">pending_patient!$A$1:$I$7</definedName>
    <definedName name="Slicer_chief_complaint">#N/A</definedName>
    <definedName name="Slicer_severerity_level">#N/A</definedName>
  </definedNames>
  <calcPr calcId="191029"/>
  <pivotCaches>
    <pivotCache cacheId="69" r:id="rId10"/>
    <pivotCache cacheId="76" r:id="rId11"/>
    <pivotCache cacheId="81" r:id="rId12"/>
    <pivotCache cacheId="85"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8" i="8" l="1"/>
  <c r="W38"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3ABA48-430B-488B-A4D4-1AF8DA68A064}" keepAlive="1" name="Query - appointments" description="Connection to the 'appointments' query in the workbook." type="5" refreshedVersion="8" background="1" saveData="1">
    <dbPr connection="Provider=Microsoft.Mashup.OleDb.1;Data Source=$Workbook$;Location=appointments;Extended Properties=&quot;&quot;" command="SELECT * FROM [appointments]"/>
  </connection>
  <connection id="2" xr16:uid="{8BF5A2BE-1B38-44B2-BBBC-75DE9F3D72AA}" keepAlive="1" name="Query - assessments" description="Connection to the 'assessments' query in the workbook." type="5" refreshedVersion="8" background="1" saveData="1">
    <dbPr connection="Provider=Microsoft.Mashup.OleDb.1;Data Source=$Workbook$;Location=assessments;Extended Properties=&quot;&quot;" command="SELECT * FROM [assessments]"/>
  </connection>
  <connection id="3" xr16:uid="{A6C20769-8694-4E2C-9AB5-7856B569D65A}" keepAlive="1" name="Query - consultation_form" description="Connection to the 'consultation_form' query in the workbook." type="5" refreshedVersion="8" background="1" saveData="1">
    <dbPr connection="Provider=Microsoft.Mashup.OleDb.1;Data Source=$Workbook$;Location=consultation_form;Extended Properties=&quot;&quot;" command="SELECT * FROM [consultation_form]"/>
  </connection>
  <connection id="4" xr16:uid="{AF608577-BDF4-474B-99B7-25D32F6FBA3C}" keepAlive="1" name="Query - patient_diagnosis" description="Connection to the 'patient_diagnosis' query in the workbook." type="5" refreshedVersion="8" background="1" saveData="1">
    <dbPr connection="Provider=Microsoft.Mashup.OleDb.1;Data Source=$Workbook$;Location=patient_diagnosis;Extended Properties=&quot;&quot;" command="SELECT * FROM [patient_diagnosis]"/>
  </connection>
  <connection id="5" xr16:uid="{2C0FF30A-907A-4DFB-AFD1-2177EB866A3E}" keepAlive="1" name="Query - patient_prescription" description="Connection to the 'patient_prescription' query in the workbook." type="5" refreshedVersion="8" background="1" saveData="1">
    <dbPr connection="Provider=Microsoft.Mashup.OleDb.1;Data Source=$Workbook$;Location=patient_prescription;Extended Properties=&quot;&quot;" command="SELECT * FROM [patient_prescription]"/>
  </connection>
  <connection id="6" xr16:uid="{9BFB232D-00F7-4DAA-9A41-56CBD15F0557}" keepAlive="1" name="Query - pending_patient" description="Connection to the 'pending_patient' query in the workbook." type="5" refreshedVersion="8" background="1" saveData="1">
    <dbPr connection="Provider=Microsoft.Mashup.OleDb.1;Data Source=$Workbook$;Location=pending_patient;Extended Properties=&quot;&quot;" command="SELECT * FROM [pending_patient]"/>
  </connection>
</connections>
</file>

<file path=xl/sharedStrings.xml><?xml version="1.0" encoding="utf-8"?>
<sst xmlns="http://schemas.openxmlformats.org/spreadsheetml/2006/main" count="299" uniqueCount="151">
  <si>
    <t>appointment_id</t>
  </si>
  <si>
    <t>patient_id</t>
  </si>
  <si>
    <t>patient_name</t>
  </si>
  <si>
    <t>chief_complaint</t>
  </si>
  <si>
    <t>description</t>
  </si>
  <si>
    <t>email</t>
  </si>
  <si>
    <t>clinic_location</t>
  </si>
  <si>
    <t>schedule_date</t>
  </si>
  <si>
    <t>schedule_time</t>
  </si>
  <si>
    <t>created_at</t>
  </si>
  <si>
    <t>status</t>
  </si>
  <si>
    <t>assessment_completed</t>
  </si>
  <si>
    <t>diagnosis_completed</t>
  </si>
  <si>
    <t>prescription_completed</t>
  </si>
  <si>
    <t>paolo pasia</t>
  </si>
  <si>
    <t>dizziness</t>
  </si>
  <si>
    <t>subrtaan butoy</t>
  </si>
  <si>
    <t>torensodarve@gmail.com</t>
  </si>
  <si>
    <t>lumbia clinic</t>
  </si>
  <si>
    <t/>
  </si>
  <si>
    <t>japjap  doroin</t>
  </si>
  <si>
    <t>fever</t>
  </si>
  <si>
    <t>dsadsadsa</t>
  </si>
  <si>
    <t>japjap@gmail.com</t>
  </si>
  <si>
    <t>baren dosol</t>
  </si>
  <si>
    <t>wound</t>
  </si>
  <si>
    <t>bali tiil</t>
  </si>
  <si>
    <t>baren@gmail.com</t>
  </si>
  <si>
    <t>assessment_id</t>
  </si>
  <si>
    <t>blood_pressure</t>
  </si>
  <si>
    <t>body_temp</t>
  </si>
  <si>
    <t>pulse_rate</t>
  </si>
  <si>
    <t>respiratory_rate</t>
  </si>
  <si>
    <t>weight</t>
  </si>
  <si>
    <t>height</t>
  </si>
  <si>
    <t>assessment_datetime</t>
  </si>
  <si>
    <t>120/80</t>
  </si>
  <si>
    <t>fname</t>
  </si>
  <si>
    <t>lname</t>
  </si>
  <si>
    <t>dob</t>
  </si>
  <si>
    <t>age</t>
  </si>
  <si>
    <t>gender</t>
  </si>
  <si>
    <t>contact_no</t>
  </si>
  <si>
    <t>barangay</t>
  </si>
  <si>
    <t>city</t>
  </si>
  <si>
    <t>email_address</t>
  </si>
  <si>
    <t>date_started</t>
  </si>
  <si>
    <t>severerity_level</t>
  </si>
  <si>
    <t>associated_symptoms</t>
  </si>
  <si>
    <t>paolo</t>
  </si>
  <si>
    <t>pasia</t>
  </si>
  <si>
    <t>Other</t>
  </si>
  <si>
    <t>09876543210</t>
  </si>
  <si>
    <t>Tuburan</t>
  </si>
  <si>
    <t>Cagayan de Oro</t>
  </si>
  <si>
    <t>Severe</t>
  </si>
  <si>
    <t>oh</t>
  </si>
  <si>
    <t xml:space="preserve">japjap </t>
  </si>
  <si>
    <t>doroin</t>
  </si>
  <si>
    <t>Male</t>
  </si>
  <si>
    <t>09264939879</t>
  </si>
  <si>
    <t>Dansolihon</t>
  </si>
  <si>
    <t>Mild</t>
  </si>
  <si>
    <t>dsadasdsa</t>
  </si>
  <si>
    <t>baren</t>
  </si>
  <si>
    <t>dosol</t>
  </si>
  <si>
    <t>Canito?an</t>
  </si>
  <si>
    <t>wa gyud bali gyud</t>
  </si>
  <si>
    <t>burbur</t>
  </si>
  <si>
    <t>lightning unkown</t>
  </si>
  <si>
    <t>Female</t>
  </si>
  <si>
    <t>Gusa</t>
  </si>
  <si>
    <t>headache</t>
  </si>
  <si>
    <t>labad ulo</t>
  </si>
  <si>
    <t>Moderate</t>
  </si>
  <si>
    <t>wowww hello</t>
  </si>
  <si>
    <t>consultation_id</t>
  </si>
  <si>
    <t>diagnosis</t>
  </si>
  <si>
    <t>clinical_findings</t>
  </si>
  <si>
    <t>notes</t>
  </si>
  <si>
    <t>treatment_plan</t>
  </si>
  <si>
    <t>recommended_test</t>
  </si>
  <si>
    <t>diagnosis_dateandtime</t>
  </si>
  <si>
    <t>doctor_nameorid</t>
  </si>
  <si>
    <t>das</t>
  </si>
  <si>
    <t>dasda</t>
  </si>
  <si>
    <t>sdasd</t>
  </si>
  <si>
    <t>sad</t>
  </si>
  <si>
    <t>asd</t>
  </si>
  <si>
    <t>torens</t>
  </si>
  <si>
    <t>dsadsa</t>
  </si>
  <si>
    <t>dsadas</t>
  </si>
  <si>
    <t>sadas</t>
  </si>
  <si>
    <t>dasdsadsa</t>
  </si>
  <si>
    <t>dsadasdas</t>
  </si>
  <si>
    <t>prescription_id</t>
  </si>
  <si>
    <t>medication_name</t>
  </si>
  <si>
    <t>dosage</t>
  </si>
  <si>
    <t>frequency</t>
  </si>
  <si>
    <t>route</t>
  </si>
  <si>
    <t>duration</t>
  </si>
  <si>
    <t>additional_notes</t>
  </si>
  <si>
    <t>prescribing_doctor_nameorid</t>
  </si>
  <si>
    <t>prescription_datetime</t>
  </si>
  <si>
    <t>paracitamol</t>
  </si>
  <si>
    <t>500mg</t>
  </si>
  <si>
    <t>wasd</t>
  </si>
  <si>
    <t>Injection</t>
  </si>
  <si>
    <t>12</t>
  </si>
  <si>
    <t>dsad</t>
  </si>
  <si>
    <t>Oral</t>
  </si>
  <si>
    <t>ghfgj</t>
  </si>
  <si>
    <t>hfgjhfgjfg</t>
  </si>
  <si>
    <t>complete_address</t>
  </si>
  <si>
    <t>severity</t>
  </si>
  <si>
    <t>action</t>
  </si>
  <si>
    <t>Tuburan, Cagayan de Oro</t>
  </si>
  <si>
    <t>Pending</t>
  </si>
  <si>
    <t>Dansolihon, Cagayan de Oro</t>
  </si>
  <si>
    <t>Canito?an, Cagayan de Oro</t>
  </si>
  <si>
    <t>burbur lightning unkown</t>
  </si>
  <si>
    <t>Gusa, Cagayan de Oro</t>
  </si>
  <si>
    <t>Row Labels</t>
  </si>
  <si>
    <t>Grand Total</t>
  </si>
  <si>
    <t>Count of barangay</t>
  </si>
  <si>
    <t>Count of gender</t>
  </si>
  <si>
    <t>Count of chief_complaint</t>
  </si>
  <si>
    <t>Sum of patient_id</t>
  </si>
  <si>
    <t>Count of severerity_level</t>
  </si>
  <si>
    <t>Count of medication_name</t>
  </si>
  <si>
    <t>Count of route</t>
  </si>
  <si>
    <t xml:space="preserve"> </t>
  </si>
  <si>
    <t>Count of patient_name</t>
  </si>
  <si>
    <t>Count of patient_id</t>
  </si>
  <si>
    <t>Count of appointment_id</t>
  </si>
  <si>
    <t>rosevie ODARVE</t>
  </si>
  <si>
    <t>Lumbia, Cagayan de Oro</t>
  </si>
  <si>
    <t>stomach_ache</t>
  </si>
  <si>
    <t>luperamide</t>
  </si>
  <si>
    <t>inom ininit tubig</t>
  </si>
  <si>
    <t>patakag kaon</t>
  </si>
  <si>
    <t>gi bitok</t>
  </si>
  <si>
    <t>kaon silopin</t>
  </si>
  <si>
    <t>inom tubig</t>
  </si>
  <si>
    <t>rosevie</t>
  </si>
  <si>
    <t>ODARVE</t>
  </si>
  <si>
    <t>Lumbia</t>
  </si>
  <si>
    <t>rosevieodarve@gmail.com</t>
  </si>
  <si>
    <t>sakit tiyan</t>
  </si>
  <si>
    <t>sakit tiyan jud labad pud ulo</t>
  </si>
  <si>
    <t>stomach ache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</si>
</sst>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4" x14ac:knownFonts="1">
    <font>
      <sz val="11"/>
      <color theme="1"/>
      <name val="Calibri"/>
      <family val="2"/>
      <scheme val="minor"/>
    </font>
    <font>
      <b/>
      <sz val="11"/>
      <color theme="1"/>
      <name val="Calibri"/>
      <family val="2"/>
      <scheme val="minor"/>
    </font>
    <font>
      <sz val="9"/>
      <color theme="1"/>
      <name val="Calibri"/>
      <family val="2"/>
      <scheme val="minor"/>
    </font>
    <font>
      <sz val="48"/>
      <color theme="1"/>
      <name val="Arial Black"/>
      <family val="2"/>
    </font>
  </fonts>
  <fills count="4">
    <fill>
      <patternFill patternType="none"/>
    </fill>
    <fill>
      <patternFill patternType="gray125"/>
    </fill>
    <fill>
      <patternFill patternType="solid">
        <fgColor rgb="FF92D050"/>
        <bgColor indexed="64"/>
      </patternFill>
    </fill>
    <fill>
      <patternFill patternType="solid">
        <fgColor theme="0" tint="-0.14999847407452621"/>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1">
    <xf numFmtId="0" fontId="0" fillId="0" borderId="0" xfId="0"/>
    <xf numFmtId="0" fontId="0" fillId="0" borderId="0" xfId="0" applyNumberFormat="1"/>
    <xf numFmtId="14" fontId="0" fillId="0" borderId="0" xfId="0" applyNumberFormat="1"/>
    <xf numFmtId="164" fontId="0" fillId="0" borderId="0" xfId="0" applyNumberFormat="1"/>
    <xf numFmtId="22"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2" borderId="0" xfId="0" applyFill="1"/>
    <xf numFmtId="0" fontId="1" fillId="2" borderId="0" xfId="0" applyFont="1" applyFill="1"/>
    <xf numFmtId="0" fontId="2" fillId="2" borderId="0" xfId="0" applyFont="1" applyFill="1"/>
    <xf numFmtId="0" fontId="0" fillId="3" borderId="0" xfId="0" applyFill="1"/>
    <xf numFmtId="0" fontId="3" fillId="3" borderId="0" xfId="0" applyFont="1" applyFill="1" applyAlignment="1">
      <alignment horizontal="center"/>
    </xf>
  </cellXfs>
  <cellStyles count="1">
    <cellStyle name="Normal" xfId="0" builtinId="0"/>
  </cellStyles>
  <dxfs count="50">
    <dxf>
      <numFmt numFmtId="0" formatCode="General"/>
    </dxf>
    <dxf>
      <numFmt numFmtId="27" formatCode="m/d/yyyy\ h:mm"/>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27" formatCode="m/d/yyyy\ h:mm"/>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[exceldb.xlsx]Sheet4!PivotTable2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Total</c:v>
                </c:pt>
              </c:strCache>
            </c:strRef>
          </c:tx>
          <c:spPr>
            <a:solidFill>
              <a:schemeClr val="accent1"/>
            </a:solidFill>
            <a:ln>
              <a:noFill/>
            </a:ln>
            <a:effectLst/>
            <a:sp3d/>
          </c:spPr>
          <c:invertIfNegative val="0"/>
          <c:cat>
            <c:strRef>
              <c:f>Sheet4!$A$4:$A$9</c:f>
              <c:strCache>
                <c:ptCount val="5"/>
                <c:pt idx="0">
                  <c:v>Canito?an</c:v>
                </c:pt>
                <c:pt idx="1">
                  <c:v>Dansolihon</c:v>
                </c:pt>
                <c:pt idx="2">
                  <c:v>Gusa</c:v>
                </c:pt>
                <c:pt idx="3">
                  <c:v>Tuburan</c:v>
                </c:pt>
                <c:pt idx="4">
                  <c:v>Lumbia</c:v>
                </c:pt>
              </c:strCache>
            </c:strRef>
          </c:cat>
          <c:val>
            <c:numRef>
              <c:f>Sheet4!$B$4:$B$9</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0-4289-44BA-9294-BAAFB781BECA}"/>
            </c:ext>
          </c:extLst>
        </c:ser>
        <c:dLbls>
          <c:showLegendKey val="0"/>
          <c:showVal val="0"/>
          <c:showCatName val="0"/>
          <c:showSerName val="0"/>
          <c:showPercent val="0"/>
          <c:showBubbleSize val="0"/>
        </c:dLbls>
        <c:gapWidth val="150"/>
        <c:shape val="box"/>
        <c:axId val="355967599"/>
        <c:axId val="355968079"/>
        <c:axId val="0"/>
      </c:bar3DChart>
      <c:catAx>
        <c:axId val="355967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968079"/>
        <c:crosses val="autoZero"/>
        <c:auto val="1"/>
        <c:lblAlgn val="ctr"/>
        <c:lblOffset val="100"/>
        <c:noMultiLvlLbl val="0"/>
      </c:catAx>
      <c:valAx>
        <c:axId val="35596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96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[exceldb.xlsx]Sheet4!PivotTable4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Sheet4!$B$28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Sheet4!$A$29:$A$32</c:f>
              <c:strCache>
                <c:ptCount val="3"/>
                <c:pt idx="0">
                  <c:v>Female</c:v>
                </c:pt>
                <c:pt idx="1">
                  <c:v>Male</c:v>
                </c:pt>
                <c:pt idx="2">
                  <c:v>Other</c:v>
                </c:pt>
              </c:strCache>
            </c:strRef>
          </c:cat>
          <c:val>
            <c:numRef>
              <c:f>Sheet4!$B$29:$B$32</c:f>
              <c:numCache>
                <c:formatCode>General</c:formatCode>
                <c:ptCount val="3"/>
                <c:pt idx="0">
                  <c:v>2</c:v>
                </c:pt>
                <c:pt idx="1">
                  <c:v>2</c:v>
                </c:pt>
                <c:pt idx="2">
                  <c:v>1</c:v>
                </c:pt>
              </c:numCache>
            </c:numRef>
          </c:val>
          <c:extLst>
            <c:ext xmlns:c16="http://schemas.microsoft.com/office/drawing/2014/chart" uri="{C3380CC4-5D6E-409C-BE32-E72D297353CC}">
              <c16:uniqueId val="{00000000-E0BF-4B77-9686-9EF5551B1F0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[exceldb.xlsx]Sheet4!PivotTable5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Sheet4!$C$47</c:f>
              <c:strCache>
                <c:ptCount val="1"/>
                <c:pt idx="0">
                  <c:v>Total</c:v>
                </c:pt>
              </c:strCache>
            </c:strRef>
          </c:tx>
          <c:spPr>
            <a:ln w="28575" cap="rnd">
              <a:solidFill>
                <a:schemeClr val="accent1"/>
              </a:solidFill>
              <a:round/>
            </a:ln>
            <a:effectLst/>
          </c:spPr>
          <c:marker>
            <c:symbol val="none"/>
          </c:marker>
          <c:cat>
            <c:strRef>
              <c:f>Sheet4!$B$48:$B$53</c:f>
              <c:strCache>
                <c:ptCount val="5"/>
                <c:pt idx="0">
                  <c:v>dizziness</c:v>
                </c:pt>
                <c:pt idx="1">
                  <c:v>fever</c:v>
                </c:pt>
                <c:pt idx="2">
                  <c:v>headache</c:v>
                </c:pt>
                <c:pt idx="3">
                  <c:v>wound</c:v>
                </c:pt>
                <c:pt idx="4">
                  <c:v>stomach_ache</c:v>
                </c:pt>
              </c:strCache>
            </c:strRef>
          </c:cat>
          <c:val>
            <c:numRef>
              <c:f>Sheet4!$C$48:$C$53</c:f>
              <c:numCache>
                <c:formatCode>General</c:formatCode>
                <c:ptCount val="5"/>
                <c:pt idx="0">
                  <c:v>1</c:v>
                </c:pt>
                <c:pt idx="1">
                  <c:v>1</c:v>
                </c:pt>
                <c:pt idx="2">
                  <c:v>1</c:v>
                </c:pt>
                <c:pt idx="3">
                  <c:v>1</c:v>
                </c:pt>
                <c:pt idx="4">
                  <c:v>1</c:v>
                </c:pt>
              </c:numCache>
            </c:numRef>
          </c:val>
          <c:smooth val="0"/>
          <c:extLst>
            <c:ext xmlns:c16="http://schemas.microsoft.com/office/drawing/2014/chart" uri="{C3380CC4-5D6E-409C-BE32-E72D297353CC}">
              <c16:uniqueId val="{00000000-9298-405C-8AAF-AE9420605F76}"/>
            </c:ext>
          </c:extLst>
        </c:ser>
        <c:dLbls>
          <c:showLegendKey val="0"/>
          <c:showVal val="0"/>
          <c:showCatName val="0"/>
          <c:showSerName val="0"/>
          <c:showPercent val="0"/>
          <c:showBubbleSize val="0"/>
        </c:dLbls>
        <c:smooth val="0"/>
        <c:axId val="1736993679"/>
        <c:axId val="1737000879"/>
      </c:lineChart>
      <c:catAx>
        <c:axId val="173699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00879"/>
        <c:crosses val="autoZero"/>
        <c:auto val="1"/>
        <c:lblAlgn val="ctr"/>
        <c:lblOffset val="100"/>
        <c:noMultiLvlLbl val="0"/>
      </c:catAx>
      <c:valAx>
        <c:axId val="173700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99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[exceldb.xlsx]Sheet4!PivotTable7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Sheet4!$C$62</c:f>
              <c:strCache>
                <c:ptCount val="1"/>
                <c:pt idx="0">
                  <c:v>Total</c:v>
                </c:pt>
              </c:strCache>
            </c:strRef>
          </c:tx>
          <c:spPr>
            <a:solidFill>
              <a:schemeClr val="accent1"/>
            </a:solidFill>
            <a:ln>
              <a:noFill/>
            </a:ln>
            <a:effectLst/>
            <a:sp3d/>
          </c:spPr>
          <c:invertIfNegative val="0"/>
          <c:cat>
            <c:strRef>
              <c:f>Sheet4!$B$63:$B$66</c:f>
              <c:strCache>
                <c:ptCount val="3"/>
                <c:pt idx="0">
                  <c:v>Mild</c:v>
                </c:pt>
                <c:pt idx="1">
                  <c:v>Moderate</c:v>
                </c:pt>
                <c:pt idx="2">
                  <c:v>Severe</c:v>
                </c:pt>
              </c:strCache>
            </c:strRef>
          </c:cat>
          <c:val>
            <c:numRef>
              <c:f>Sheet4!$C$63:$C$66</c:f>
              <c:numCache>
                <c:formatCode>General</c:formatCode>
                <c:ptCount val="3"/>
                <c:pt idx="0">
                  <c:v>2</c:v>
                </c:pt>
                <c:pt idx="1">
                  <c:v>1</c:v>
                </c:pt>
                <c:pt idx="2">
                  <c:v>2</c:v>
                </c:pt>
              </c:numCache>
            </c:numRef>
          </c:val>
          <c:extLst>
            <c:ext xmlns:c16="http://schemas.microsoft.com/office/drawing/2014/chart" uri="{C3380CC4-5D6E-409C-BE32-E72D297353CC}">
              <c16:uniqueId val="{00000000-FCAC-4BDC-A5BB-4294FDC6F505}"/>
            </c:ext>
          </c:extLst>
        </c:ser>
        <c:dLbls>
          <c:showLegendKey val="0"/>
          <c:showVal val="0"/>
          <c:showCatName val="0"/>
          <c:showSerName val="0"/>
          <c:showPercent val="0"/>
          <c:showBubbleSize val="0"/>
        </c:dLbls>
        <c:gapWidth val="150"/>
        <c:shape val="box"/>
        <c:axId val="254154687"/>
        <c:axId val="254155647"/>
        <c:axId val="0"/>
      </c:bar3DChart>
      <c:catAx>
        <c:axId val="254154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155647"/>
        <c:crosses val="autoZero"/>
        <c:auto val="1"/>
        <c:lblAlgn val="ctr"/>
        <c:lblOffset val="100"/>
        <c:noMultiLvlLbl val="0"/>
      </c:catAx>
      <c:valAx>
        <c:axId val="254155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15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[exceldb.xlsx]Sheet4!PivotTable9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Sheet4!$D$70</c:f>
              <c:strCache>
                <c:ptCount val="1"/>
                <c:pt idx="0">
                  <c:v>Total</c:v>
                </c:pt>
              </c:strCache>
            </c:strRef>
          </c:tx>
          <c:spPr>
            <a:solidFill>
              <a:schemeClr val="accent1"/>
            </a:solidFill>
            <a:ln>
              <a:noFill/>
            </a:ln>
            <a:effectLst/>
            <a:sp3d/>
          </c:spPr>
          <c:invertIfNegative val="0"/>
          <c:cat>
            <c:strRef>
              <c:f>Sheet4!$C$71:$C$75</c:f>
              <c:strCache>
                <c:ptCount val="4"/>
                <c:pt idx="0">
                  <c:v>dsad</c:v>
                </c:pt>
                <c:pt idx="1">
                  <c:v>ghfgj</c:v>
                </c:pt>
                <c:pt idx="2">
                  <c:v>paracitamol</c:v>
                </c:pt>
                <c:pt idx="3">
                  <c:v>luperamide</c:v>
                </c:pt>
              </c:strCache>
            </c:strRef>
          </c:cat>
          <c:val>
            <c:numRef>
              <c:f>Sheet4!$D$71:$D$75</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0-053E-4D7B-8651-39166ED5DA31}"/>
            </c:ext>
          </c:extLst>
        </c:ser>
        <c:dLbls>
          <c:showLegendKey val="0"/>
          <c:showVal val="0"/>
          <c:showCatName val="0"/>
          <c:showSerName val="0"/>
          <c:showPercent val="0"/>
          <c:showBubbleSize val="0"/>
        </c:dLbls>
        <c:gapWidth val="150"/>
        <c:shape val="box"/>
        <c:axId val="254150367"/>
        <c:axId val="254154207"/>
        <c:axId val="0"/>
      </c:bar3DChart>
      <c:catAx>
        <c:axId val="254150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154207"/>
        <c:crosses val="autoZero"/>
        <c:auto val="1"/>
        <c:lblAlgn val="ctr"/>
        <c:lblOffset val="100"/>
        <c:noMultiLvlLbl val="0"/>
      </c:catAx>
      <c:valAx>
        <c:axId val="254154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15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[exceldb.xlsx]Sheet4!PivotTable10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Sheet4!$H$73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Sheet4!$G$74:$G$76</c:f>
              <c:strCache>
                <c:ptCount val="2"/>
                <c:pt idx="0">
                  <c:v>Injection</c:v>
                </c:pt>
                <c:pt idx="1">
                  <c:v>Oral</c:v>
                </c:pt>
              </c:strCache>
            </c:strRef>
          </c:cat>
          <c:val>
            <c:numRef>
              <c:f>Sheet4!$H$74:$H$76</c:f>
              <c:numCache>
                <c:formatCode>General</c:formatCode>
                <c:ptCount val="2"/>
                <c:pt idx="0">
                  <c:v>1</c:v>
                </c:pt>
                <c:pt idx="1">
                  <c:v>3</c:v>
                </c:pt>
              </c:numCache>
            </c:numRef>
          </c:val>
          <c:extLst>
            <c:ext xmlns:c16="http://schemas.microsoft.com/office/drawing/2014/chart" uri="{C3380CC4-5D6E-409C-BE32-E72D297353CC}">
              <c16:uniqueId val="{00000000-F0BD-4631-8188-5E9BCF853ED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[exceldb.xlsx]Sheet4!PivotTable2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NUMBER</a:t>
            </a:r>
            <a:r>
              <a:rPr lang="en-US" b="1" baseline="0"/>
              <a:t> OF PATIENTS FOR EACH BARANGAY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Total</c:v>
                </c:pt>
              </c:strCache>
            </c:strRef>
          </c:tx>
          <c:spPr>
            <a:solidFill>
              <a:schemeClr val="accent1"/>
            </a:solidFill>
            <a:ln>
              <a:noFill/>
            </a:ln>
            <a:effectLst/>
            <a:sp3d/>
          </c:spPr>
          <c:invertIfNegative val="0"/>
          <c:cat>
            <c:strRef>
              <c:f>Sheet4!$A$4:$A$9</c:f>
              <c:strCache>
                <c:ptCount val="5"/>
                <c:pt idx="0">
                  <c:v>Canito?an</c:v>
                </c:pt>
                <c:pt idx="1">
                  <c:v>Dansolihon</c:v>
                </c:pt>
                <c:pt idx="2">
                  <c:v>Gusa</c:v>
                </c:pt>
                <c:pt idx="3">
                  <c:v>Tuburan</c:v>
                </c:pt>
                <c:pt idx="4">
                  <c:v>Lumbia</c:v>
                </c:pt>
              </c:strCache>
            </c:strRef>
          </c:cat>
          <c:val>
            <c:numRef>
              <c:f>Sheet4!$B$4:$B$9</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0-4672-4C42-832F-6BD109E1EDDF}"/>
            </c:ext>
          </c:extLst>
        </c:ser>
        <c:dLbls>
          <c:showLegendKey val="0"/>
          <c:showVal val="0"/>
          <c:showCatName val="0"/>
          <c:showSerName val="0"/>
          <c:showPercent val="0"/>
          <c:showBubbleSize val="0"/>
        </c:dLbls>
        <c:gapWidth val="150"/>
        <c:shape val="box"/>
        <c:axId val="355967599"/>
        <c:axId val="355968079"/>
        <c:axId val="0"/>
      </c:bar3DChart>
      <c:catAx>
        <c:axId val="355967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5968079"/>
        <c:crosses val="autoZero"/>
        <c:auto val="1"/>
        <c:lblAlgn val="ctr"/>
        <c:lblOffset val="100"/>
        <c:noMultiLvlLbl val="0"/>
      </c:catAx>
      <c:valAx>
        <c:axId val="35596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96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[exceldb.xlsx]Sheet4!PivotTable4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Patient Demographics Report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Sheet4!$B$28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604-4C07-9DC9-F1E43CB852F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604-4C07-9DC9-F1E43CB852F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604-4C07-9DC9-F1E43CB852F8}"/>
              </c:ext>
            </c:extLst>
          </c:dPt>
          <c:cat>
            <c:strRef>
              <c:f>Sheet4!$A$29:$A$32</c:f>
              <c:strCache>
                <c:ptCount val="3"/>
                <c:pt idx="0">
                  <c:v>Female</c:v>
                </c:pt>
                <c:pt idx="1">
                  <c:v>Male</c:v>
                </c:pt>
                <c:pt idx="2">
                  <c:v>Other</c:v>
                </c:pt>
              </c:strCache>
            </c:strRef>
          </c:cat>
          <c:val>
            <c:numRef>
              <c:f>Sheet4!$B$29:$B$32</c:f>
              <c:numCache>
                <c:formatCode>General</c:formatCode>
                <c:ptCount val="3"/>
                <c:pt idx="0">
                  <c:v>2</c:v>
                </c:pt>
                <c:pt idx="1">
                  <c:v>2</c:v>
                </c:pt>
                <c:pt idx="2">
                  <c:v>1</c:v>
                </c:pt>
              </c:numCache>
            </c:numRef>
          </c:val>
          <c:extLst>
            <c:ext xmlns:c16="http://schemas.microsoft.com/office/drawing/2014/chart" uri="{C3380CC4-5D6E-409C-BE32-E72D297353CC}">
              <c16:uniqueId val="{00000006-B604-4C07-9DC9-F1E43CB852F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[exceldb.xlsx]Sheet4!PivotTable5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100" b="1"/>
              <a:t>Chief Complaint Summary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Sheet4!$C$47</c:f>
              <c:strCache>
                <c:ptCount val="1"/>
                <c:pt idx="0">
                  <c:v>Total</c:v>
                </c:pt>
              </c:strCache>
            </c:strRef>
          </c:tx>
          <c:spPr>
            <a:ln w="28575" cap="rnd">
              <a:solidFill>
                <a:schemeClr val="accent1"/>
              </a:solidFill>
              <a:round/>
            </a:ln>
            <a:effectLst/>
          </c:spPr>
          <c:marker>
            <c:symbol val="none"/>
          </c:marker>
          <c:cat>
            <c:strRef>
              <c:f>Sheet4!$B$48:$B$53</c:f>
              <c:strCache>
                <c:ptCount val="5"/>
                <c:pt idx="0">
                  <c:v>dizziness</c:v>
                </c:pt>
                <c:pt idx="1">
                  <c:v>fever</c:v>
                </c:pt>
                <c:pt idx="2">
                  <c:v>headache</c:v>
                </c:pt>
                <c:pt idx="3">
                  <c:v>wound</c:v>
                </c:pt>
                <c:pt idx="4">
                  <c:v>stomach_ache</c:v>
                </c:pt>
              </c:strCache>
            </c:strRef>
          </c:cat>
          <c:val>
            <c:numRef>
              <c:f>Sheet4!$C$48:$C$53</c:f>
              <c:numCache>
                <c:formatCode>General</c:formatCode>
                <c:ptCount val="5"/>
                <c:pt idx="0">
                  <c:v>1</c:v>
                </c:pt>
                <c:pt idx="1">
                  <c:v>1</c:v>
                </c:pt>
                <c:pt idx="2">
                  <c:v>1</c:v>
                </c:pt>
                <c:pt idx="3">
                  <c:v>1</c:v>
                </c:pt>
                <c:pt idx="4">
                  <c:v>1</c:v>
                </c:pt>
              </c:numCache>
            </c:numRef>
          </c:val>
          <c:smooth val="0"/>
          <c:extLst>
            <c:ext xmlns:c16="http://schemas.microsoft.com/office/drawing/2014/chart" uri="{C3380CC4-5D6E-409C-BE32-E72D297353CC}">
              <c16:uniqueId val="{00000000-8BE3-4AA3-A293-3FE473CB7EFE}"/>
            </c:ext>
          </c:extLst>
        </c:ser>
        <c:dLbls>
          <c:showLegendKey val="0"/>
          <c:showVal val="0"/>
          <c:showCatName val="0"/>
          <c:showSerName val="0"/>
          <c:showPercent val="0"/>
          <c:showBubbleSize val="0"/>
        </c:dLbls>
        <c:smooth val="0"/>
        <c:axId val="1736993679"/>
        <c:axId val="1737000879"/>
      </c:lineChart>
      <c:catAx>
        <c:axId val="173699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00879"/>
        <c:crosses val="autoZero"/>
        <c:auto val="1"/>
        <c:lblAlgn val="ctr"/>
        <c:lblOffset val="100"/>
        <c:noMultiLvlLbl val="0"/>
      </c:catAx>
      <c:valAx>
        <c:axId val="17370008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99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[exceldb.xlsx]Sheet4!PivotTable7</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Severity Level Report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Sheet4!$C$62</c:f>
              <c:strCache>
                <c:ptCount val="1"/>
                <c:pt idx="0">
                  <c:v>Total</c:v>
                </c:pt>
              </c:strCache>
            </c:strRef>
          </c:tx>
          <c:spPr>
            <a:solidFill>
              <a:schemeClr val="accent1"/>
            </a:solidFill>
            <a:ln>
              <a:noFill/>
            </a:ln>
            <a:effectLst/>
            <a:sp3d/>
          </c:spPr>
          <c:invertIfNegative val="0"/>
          <c:cat>
            <c:strRef>
              <c:f>Sheet4!$B$63:$B$66</c:f>
              <c:strCache>
                <c:ptCount val="3"/>
                <c:pt idx="0">
                  <c:v>Mild</c:v>
                </c:pt>
                <c:pt idx="1">
                  <c:v>Moderate</c:v>
                </c:pt>
                <c:pt idx="2">
                  <c:v>Severe</c:v>
                </c:pt>
              </c:strCache>
            </c:strRef>
          </c:cat>
          <c:val>
            <c:numRef>
              <c:f>Sheet4!$C$63:$C$66</c:f>
              <c:numCache>
                <c:formatCode>General</c:formatCode>
                <c:ptCount val="3"/>
                <c:pt idx="0">
                  <c:v>2</c:v>
                </c:pt>
                <c:pt idx="1">
                  <c:v>1</c:v>
                </c:pt>
                <c:pt idx="2">
                  <c:v>2</c:v>
                </c:pt>
              </c:numCache>
            </c:numRef>
          </c:val>
          <c:extLst>
            <c:ext xmlns:c16="http://schemas.microsoft.com/office/drawing/2014/chart" uri="{C3380CC4-5D6E-409C-BE32-E72D297353CC}">
              <c16:uniqueId val="{00000000-FC48-4C01-8F1E-82B16E2FEE27}"/>
            </c:ext>
          </c:extLst>
        </c:ser>
        <c:dLbls>
          <c:showLegendKey val="0"/>
          <c:showVal val="0"/>
          <c:showCatName val="0"/>
          <c:showSerName val="0"/>
          <c:showPercent val="0"/>
          <c:showBubbleSize val="0"/>
        </c:dLbls>
        <c:gapWidth val="150"/>
        <c:shape val="box"/>
        <c:axId val="254154687"/>
        <c:axId val="254155647"/>
        <c:axId val="0"/>
      </c:bar3DChart>
      <c:catAx>
        <c:axId val="254154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155647"/>
        <c:crosses val="autoZero"/>
        <c:auto val="1"/>
        <c:lblAlgn val="ctr"/>
        <c:lblOffset val="100"/>
        <c:noMultiLvlLbl val="0"/>
      </c:catAx>
      <c:valAx>
        <c:axId val="254155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15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[exceldb.xlsx]Sheet4!PivotTable9</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Prescription Report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Sheet4!$D$70</c:f>
              <c:strCache>
                <c:ptCount val="1"/>
                <c:pt idx="0">
                  <c:v>Total</c:v>
                </c:pt>
              </c:strCache>
            </c:strRef>
          </c:tx>
          <c:spPr>
            <a:solidFill>
              <a:schemeClr val="accent1"/>
            </a:solidFill>
            <a:ln>
              <a:noFill/>
            </a:ln>
            <a:effectLst/>
            <a:sp3d/>
          </c:spPr>
          <c:invertIfNegative val="0"/>
          <c:cat>
            <c:strRef>
              <c:f>Sheet4!$C$71:$C$75</c:f>
              <c:strCache>
                <c:ptCount val="4"/>
                <c:pt idx="0">
                  <c:v>dsad</c:v>
                </c:pt>
                <c:pt idx="1">
                  <c:v>ghfgj</c:v>
                </c:pt>
                <c:pt idx="2">
                  <c:v>paracitamol</c:v>
                </c:pt>
                <c:pt idx="3">
                  <c:v>luperamide</c:v>
                </c:pt>
              </c:strCache>
            </c:strRef>
          </c:cat>
          <c:val>
            <c:numRef>
              <c:f>Sheet4!$D$71:$D$75</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0-740A-41BD-8F33-AE3848DE6C9F}"/>
            </c:ext>
          </c:extLst>
        </c:ser>
        <c:dLbls>
          <c:showLegendKey val="0"/>
          <c:showVal val="0"/>
          <c:showCatName val="0"/>
          <c:showSerName val="0"/>
          <c:showPercent val="0"/>
          <c:showBubbleSize val="0"/>
        </c:dLbls>
        <c:gapWidth val="150"/>
        <c:shape val="box"/>
        <c:axId val="254150367"/>
        <c:axId val="254154207"/>
        <c:axId val="0"/>
      </c:bar3DChart>
      <c:catAx>
        <c:axId val="254150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4154207"/>
        <c:crosses val="autoZero"/>
        <c:auto val="1"/>
        <c:lblAlgn val="ctr"/>
        <c:lblOffset val="100"/>
        <c:noMultiLvlLbl val="0"/>
      </c:catAx>
      <c:valAx>
        <c:axId val="254154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15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[exceldb.xlsx]Sheet4!PivotTable10</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Medication Route Report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Sheet4!$H$73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42B-4E96-A1CA-66C0931D48C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42B-4E96-A1CA-66C0931D48C3}"/>
              </c:ext>
            </c:extLst>
          </c:dPt>
          <c:cat>
            <c:strRef>
              <c:f>Sheet4!$G$74:$G$76</c:f>
              <c:strCache>
                <c:ptCount val="2"/>
                <c:pt idx="0">
                  <c:v>Injection</c:v>
                </c:pt>
                <c:pt idx="1">
                  <c:v>Oral</c:v>
                </c:pt>
              </c:strCache>
            </c:strRef>
          </c:cat>
          <c:val>
            <c:numRef>
              <c:f>Sheet4!$H$74:$H$76</c:f>
              <c:numCache>
                <c:formatCode>General</c:formatCode>
                <c:ptCount val="2"/>
                <c:pt idx="0">
                  <c:v>1</c:v>
                </c:pt>
                <c:pt idx="1">
                  <c:v>3</c:v>
                </c:pt>
              </c:numCache>
            </c:numRef>
          </c:val>
          <c:extLst>
            <c:ext xmlns:c16="http://schemas.microsoft.com/office/drawing/2014/chart" uri="{C3380CC4-5D6E-409C-BE32-E72D297353CC}">
              <c16:uniqueId val="{00000004-542B-4E96-A1CA-66C0931D48C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147637</xdr:rowOff>
    </xdr:from>
    <xdr:to>
      <xdr:col>8</xdr:col>
      <xdr:colOff>47625</xdr:colOff>
      <xdr:row>24</xdr:row>
      <xdr:rowOff>33337</xdr:rowOff>
    </xdr:to>
    <xdr:graphicFrame macro="">
      <xdr:nvGraphicFramePr>
        <xdr:cNvPr id="2" name="Chart 1">
          <a:extLst>
            <a:ext uri="{FF2B5EF4-FFF2-40B4-BE49-F238E27FC236}">
              <a16:creationId xmlns:a16="http://schemas.microsoft.com/office/drawing/2014/main" id="{F13903AF-9913-B756-3128-95B214DF4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xdr:colOff>
      <xdr:row>25</xdr:row>
      <xdr:rowOff>109537</xdr:rowOff>
    </xdr:from>
    <xdr:to>
      <xdr:col>10</xdr:col>
      <xdr:colOff>257175</xdr:colOff>
      <xdr:row>39</xdr:row>
      <xdr:rowOff>185737</xdr:rowOff>
    </xdr:to>
    <xdr:graphicFrame macro="">
      <xdr:nvGraphicFramePr>
        <xdr:cNvPr id="3" name="Chart 2">
          <a:extLst>
            <a:ext uri="{FF2B5EF4-FFF2-40B4-BE49-F238E27FC236}">
              <a16:creationId xmlns:a16="http://schemas.microsoft.com/office/drawing/2014/main" id="{361E43A7-9235-EB0D-F4AF-49929D0BF2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xdr:colOff>
      <xdr:row>41</xdr:row>
      <xdr:rowOff>166687</xdr:rowOff>
    </xdr:from>
    <xdr:to>
      <xdr:col>11</xdr:col>
      <xdr:colOff>285750</xdr:colOff>
      <xdr:row>56</xdr:row>
      <xdr:rowOff>52387</xdr:rowOff>
    </xdr:to>
    <xdr:graphicFrame macro="">
      <xdr:nvGraphicFramePr>
        <xdr:cNvPr id="4" name="Chart 3">
          <a:extLst>
            <a:ext uri="{FF2B5EF4-FFF2-40B4-BE49-F238E27FC236}">
              <a16:creationId xmlns:a16="http://schemas.microsoft.com/office/drawing/2014/main" id="{E2A6E059-AB90-EE14-2BCE-CDDE66E32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409575</xdr:colOff>
      <xdr:row>52</xdr:row>
      <xdr:rowOff>147637</xdr:rowOff>
    </xdr:from>
    <xdr:to>
      <xdr:col>13</xdr:col>
      <xdr:colOff>95250</xdr:colOff>
      <xdr:row>67</xdr:row>
      <xdr:rowOff>33337</xdr:rowOff>
    </xdr:to>
    <xdr:graphicFrame macro="">
      <xdr:nvGraphicFramePr>
        <xdr:cNvPr id="5" name="Chart 4">
          <a:extLst>
            <a:ext uri="{FF2B5EF4-FFF2-40B4-BE49-F238E27FC236}">
              <a16:creationId xmlns:a16="http://schemas.microsoft.com/office/drawing/2014/main" id="{B5894775-979D-43F4-4494-293433AA48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438150</xdr:colOff>
      <xdr:row>52</xdr:row>
      <xdr:rowOff>147637</xdr:rowOff>
    </xdr:from>
    <xdr:to>
      <xdr:col>10</xdr:col>
      <xdr:colOff>590550</xdr:colOff>
      <xdr:row>67</xdr:row>
      <xdr:rowOff>33337</xdr:rowOff>
    </xdr:to>
    <xdr:graphicFrame macro="">
      <xdr:nvGraphicFramePr>
        <xdr:cNvPr id="6" name="Chart 5">
          <a:extLst>
            <a:ext uri="{FF2B5EF4-FFF2-40B4-BE49-F238E27FC236}">
              <a16:creationId xmlns:a16="http://schemas.microsoft.com/office/drawing/2014/main" id="{C23B666C-C890-5BBC-A4D9-64448D9825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500062</xdr:colOff>
      <xdr:row>42</xdr:row>
      <xdr:rowOff>85725</xdr:rowOff>
    </xdr:from>
    <xdr:to>
      <xdr:col>18</xdr:col>
      <xdr:colOff>161925</xdr:colOff>
      <xdr:row>52</xdr:row>
      <xdr:rowOff>109537</xdr:rowOff>
    </xdr:to>
    <xdr:graphicFrame macro="">
      <xdr:nvGraphicFramePr>
        <xdr:cNvPr id="8" name="Chart 7">
          <a:extLst>
            <a:ext uri="{FF2B5EF4-FFF2-40B4-BE49-F238E27FC236}">
              <a16:creationId xmlns:a16="http://schemas.microsoft.com/office/drawing/2014/main" id="{595D1A2E-FAD2-6319-247D-5E3AFB6BE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9</xdr:col>
      <xdr:colOff>809625</xdr:colOff>
      <xdr:row>75</xdr:row>
      <xdr:rowOff>0</xdr:rowOff>
    </xdr:from>
    <xdr:ext cx="1140633" cy="436786"/>
    <xdr:sp macro="" textlink="">
      <xdr:nvSpPr>
        <xdr:cNvPr id="10" name="TextBox 9">
          <a:extLst>
            <a:ext uri="{FF2B5EF4-FFF2-40B4-BE49-F238E27FC236}">
              <a16:creationId xmlns:a16="http://schemas.microsoft.com/office/drawing/2014/main" id="{3CAC503F-DCF8-92A5-3B39-148EDCC8614A}"/>
            </a:ext>
          </a:extLst>
        </xdr:cNvPr>
        <xdr:cNvSpPr txBox="1"/>
      </xdr:nvSpPr>
      <xdr:spPr>
        <a:xfrm>
          <a:off x="8610600" y="14287500"/>
          <a:ext cx="1140633"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tx1">
                  <a:lumMod val="65000"/>
                  <a:lumOff val="35000"/>
                </a:schemeClr>
              </a:solidFill>
            </a:rPr>
            <a:t>TOTAL</a:t>
          </a:r>
          <a:r>
            <a:rPr lang="en-US" sz="1100"/>
            <a:t> </a:t>
          </a:r>
          <a:r>
            <a:rPr lang="en-US" sz="1100">
              <a:solidFill>
                <a:schemeClr val="tx1">
                  <a:lumMod val="65000"/>
                  <a:lumOff val="35000"/>
                </a:schemeClr>
              </a:solidFill>
            </a:rPr>
            <a:t>PATIENTS</a:t>
          </a:r>
        </a:p>
        <a:p>
          <a:endParaRPr lang="en-US" sz="1100"/>
        </a:p>
      </xdr:txBody>
    </xdr:sp>
    <xdr:clientData/>
  </xdr:oneCellAnchor>
  <xdr:oneCellAnchor>
    <xdr:from>
      <xdr:col>9</xdr:col>
      <xdr:colOff>238125</xdr:colOff>
      <xdr:row>72</xdr:row>
      <xdr:rowOff>161925</xdr:rowOff>
    </xdr:from>
    <xdr:ext cx="184731" cy="264560"/>
    <xdr:sp macro="" textlink="">
      <xdr:nvSpPr>
        <xdr:cNvPr id="11" name="TextBox 10">
          <a:extLst>
            <a:ext uri="{FF2B5EF4-FFF2-40B4-BE49-F238E27FC236}">
              <a16:creationId xmlns:a16="http://schemas.microsoft.com/office/drawing/2014/main" id="{0A37B1F5-DB17-BFBA-53EC-6A3BE2F6C14D}"/>
            </a:ext>
          </a:extLst>
        </xdr:cNvPr>
        <xdr:cNvSpPr txBox="1"/>
      </xdr:nvSpPr>
      <xdr:spPr>
        <a:xfrm>
          <a:off x="8039100" y="13877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152400</xdr:colOff>
      <xdr:row>77</xdr:row>
      <xdr:rowOff>66675</xdr:rowOff>
    </xdr:from>
    <xdr:ext cx="216534" cy="264560"/>
    <xdr:sp macro="" textlink="">
      <xdr:nvSpPr>
        <xdr:cNvPr id="12" name="TextBox 11">
          <a:extLst>
            <a:ext uri="{FF2B5EF4-FFF2-40B4-BE49-F238E27FC236}">
              <a16:creationId xmlns:a16="http://schemas.microsoft.com/office/drawing/2014/main" id="{AED542FF-B5D1-06F2-A2C1-4A727EF89135}"/>
            </a:ext>
          </a:extLst>
        </xdr:cNvPr>
        <xdr:cNvSpPr txBox="1"/>
      </xdr:nvSpPr>
      <xdr:spPr>
        <a:xfrm>
          <a:off x="9077325" y="14735175"/>
          <a:ext cx="2165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 </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600075</xdr:colOff>
      <xdr:row>4</xdr:row>
      <xdr:rowOff>99172</xdr:rowOff>
    </xdr:from>
    <xdr:to>
      <xdr:col>24</xdr:col>
      <xdr:colOff>100853</xdr:colOff>
      <xdr:row>17</xdr:row>
      <xdr:rowOff>99172</xdr:rowOff>
    </xdr:to>
    <xdr:graphicFrame macro="">
      <xdr:nvGraphicFramePr>
        <xdr:cNvPr id="2" name="Chart 1">
          <a:extLst>
            <a:ext uri="{FF2B5EF4-FFF2-40B4-BE49-F238E27FC236}">
              <a16:creationId xmlns:a16="http://schemas.microsoft.com/office/drawing/2014/main" id="{3A909538-77BD-47CB-883D-0B88B267B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728382</xdr:colOff>
      <xdr:row>19</xdr:row>
      <xdr:rowOff>82364</xdr:rowOff>
    </xdr:from>
    <xdr:to>
      <xdr:col>24</xdr:col>
      <xdr:colOff>100852</xdr:colOff>
      <xdr:row>32</xdr:row>
      <xdr:rowOff>82364</xdr:rowOff>
    </xdr:to>
    <xdr:graphicFrame macro="">
      <xdr:nvGraphicFramePr>
        <xdr:cNvPr id="3" name="Chart 2">
          <a:extLst>
            <a:ext uri="{FF2B5EF4-FFF2-40B4-BE49-F238E27FC236}">
              <a16:creationId xmlns:a16="http://schemas.microsoft.com/office/drawing/2014/main" id="{C5BCFF60-22B2-4DE2-955A-32665B202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479051</xdr:colOff>
      <xdr:row>19</xdr:row>
      <xdr:rowOff>85725</xdr:rowOff>
    </xdr:from>
    <xdr:to>
      <xdr:col>16</xdr:col>
      <xdr:colOff>517151</xdr:colOff>
      <xdr:row>32</xdr:row>
      <xdr:rowOff>76200</xdr:rowOff>
    </xdr:to>
    <xdr:graphicFrame macro="">
      <xdr:nvGraphicFramePr>
        <xdr:cNvPr id="5" name="Chart 4">
          <a:extLst>
            <a:ext uri="{FF2B5EF4-FFF2-40B4-BE49-F238E27FC236}">
              <a16:creationId xmlns:a16="http://schemas.microsoft.com/office/drawing/2014/main" id="{C3428A81-46D6-4E30-BE0F-2F114A92F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590550</xdr:colOff>
      <xdr:row>19</xdr:row>
      <xdr:rowOff>76200</xdr:rowOff>
    </xdr:from>
    <xdr:to>
      <xdr:col>9</xdr:col>
      <xdr:colOff>285750</xdr:colOff>
      <xdr:row>32</xdr:row>
      <xdr:rowOff>95250</xdr:rowOff>
    </xdr:to>
    <xdr:graphicFrame macro="">
      <xdr:nvGraphicFramePr>
        <xdr:cNvPr id="6" name="Chart 5">
          <a:extLst>
            <a:ext uri="{FF2B5EF4-FFF2-40B4-BE49-F238E27FC236}">
              <a16:creationId xmlns:a16="http://schemas.microsoft.com/office/drawing/2014/main" id="{F1F569E5-006A-4D35-9F80-B1DE27372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569819</xdr:colOff>
      <xdr:row>33</xdr:row>
      <xdr:rowOff>166409</xdr:rowOff>
    </xdr:from>
    <xdr:to>
      <xdr:col>9</xdr:col>
      <xdr:colOff>265019</xdr:colOff>
      <xdr:row>46</xdr:row>
      <xdr:rowOff>78443</xdr:rowOff>
    </xdr:to>
    <xdr:graphicFrame macro="">
      <xdr:nvGraphicFramePr>
        <xdr:cNvPr id="7" name="Chart 6">
          <a:extLst>
            <a:ext uri="{FF2B5EF4-FFF2-40B4-BE49-F238E27FC236}">
              <a16:creationId xmlns:a16="http://schemas.microsoft.com/office/drawing/2014/main" id="{67D489FF-6F78-48C9-B9D9-510EBCB85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480731</xdr:colOff>
      <xdr:row>33</xdr:row>
      <xdr:rowOff>180975</xdr:rowOff>
    </xdr:from>
    <xdr:to>
      <xdr:col>16</xdr:col>
      <xdr:colOff>537882</xdr:colOff>
      <xdr:row>46</xdr:row>
      <xdr:rowOff>22412</xdr:rowOff>
    </xdr:to>
    <xdr:graphicFrame macro="">
      <xdr:nvGraphicFramePr>
        <xdr:cNvPr id="9" name="Chart 8">
          <a:extLst>
            <a:ext uri="{FF2B5EF4-FFF2-40B4-BE49-F238E27FC236}">
              <a16:creationId xmlns:a16="http://schemas.microsoft.com/office/drawing/2014/main" id="{3FD3B013-B6CD-4B88-A006-476FB5079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17</xdr:col>
      <xdr:colOff>189432</xdr:colOff>
      <xdr:row>33</xdr:row>
      <xdr:rowOff>189140</xdr:rowOff>
    </xdr:from>
    <xdr:ext cx="1446485" cy="291234"/>
    <xdr:sp macro="" textlink="">
      <xdr:nvSpPr>
        <xdr:cNvPr id="12" name="TextBox 11">
          <a:extLst>
            <a:ext uri="{FF2B5EF4-FFF2-40B4-BE49-F238E27FC236}">
              <a16:creationId xmlns:a16="http://schemas.microsoft.com/office/drawing/2014/main" id="{CBD3A1AE-8F6F-66C6-84F9-7D8A8C25DE4E}"/>
            </a:ext>
          </a:extLst>
        </xdr:cNvPr>
        <xdr:cNvSpPr txBox="1"/>
      </xdr:nvSpPr>
      <xdr:spPr>
        <a:xfrm>
          <a:off x="12103846" y="6475640"/>
          <a:ext cx="1446485" cy="291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lang="en-US" sz="1100">
              <a:latin typeface="Arial Black" panose="020B0A04020102020204" pitchFamily="34" charset="0"/>
            </a:rPr>
            <a:t>TOTAL PATIENT</a:t>
          </a:r>
        </a:p>
      </xdr:txBody>
    </xdr:sp>
    <xdr:clientData/>
  </xdr:oneCellAnchor>
  <xdr:oneCellAnchor>
    <xdr:from>
      <xdr:col>20</xdr:col>
      <xdr:colOff>561765</xdr:colOff>
      <xdr:row>33</xdr:row>
      <xdr:rowOff>150429</xdr:rowOff>
    </xdr:from>
    <xdr:ext cx="1916615" cy="490134"/>
    <xdr:sp macro="" textlink="">
      <xdr:nvSpPr>
        <xdr:cNvPr id="13" name="TextBox 12">
          <a:extLst>
            <a:ext uri="{FF2B5EF4-FFF2-40B4-BE49-F238E27FC236}">
              <a16:creationId xmlns:a16="http://schemas.microsoft.com/office/drawing/2014/main" id="{1341B1C7-52D1-41D1-8527-03F5046F5D1C}"/>
            </a:ext>
          </a:extLst>
        </xdr:cNvPr>
        <xdr:cNvSpPr txBox="1"/>
      </xdr:nvSpPr>
      <xdr:spPr>
        <a:xfrm>
          <a:off x="14317179" y="6436929"/>
          <a:ext cx="1916615" cy="4901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lang="en-US" sz="1100">
              <a:latin typeface="Arial Black" panose="020B0A04020102020204" pitchFamily="34" charset="0"/>
            </a:rPr>
            <a:t>TOTAL APPOINTMENT</a:t>
          </a:r>
        </a:p>
        <a:p>
          <a:pPr algn="r"/>
          <a:endParaRPr lang="en-US" sz="1100">
            <a:latin typeface="Arial Black" panose="020B0A04020102020204" pitchFamily="34" charset="0"/>
          </a:endParaRPr>
        </a:p>
      </xdr:txBody>
    </xdr:sp>
    <xdr:clientData/>
  </xdr:oneCellAnchor>
  <xdr:twoCellAnchor editAs="oneCell">
    <xdr:from>
      <xdr:col>0</xdr:col>
      <xdr:colOff>228600</xdr:colOff>
      <xdr:row>23</xdr:row>
      <xdr:rowOff>38100</xdr:rowOff>
    </xdr:from>
    <xdr:to>
      <xdr:col>2</xdr:col>
      <xdr:colOff>400050</xdr:colOff>
      <xdr:row>43</xdr:row>
      <xdr:rowOff>24962</xdr:rowOff>
    </xdr:to>
    <mc:AlternateContent xmlns:mc="http://schemas.openxmlformats.org/markup-compatibility/2006">
      <mc:Choice xmlns:a14="http://schemas.microsoft.com/office/drawing/2010/main" Requires="a14">
        <xdr:graphicFrame macro="">
          <xdr:nvGraphicFramePr>
            <xdr:cNvPr id="14" name="chief_complaint">
              <a:extLst>
                <a:ext uri="{FF2B5EF4-FFF2-40B4-BE49-F238E27FC236}">
                  <a16:creationId xmlns:a16="http://schemas.microsoft.com/office/drawing/2014/main" id="{2A3936E1-F343-44B0-7D1A-5838DAD8A08A}"/>
                </a:ext>
              </a:extLst>
            </xdr:cNvPr>
            <xdr:cNvGraphicFramePr/>
          </xdr:nvGraphicFramePr>
          <xdr:xfrm>
            <a:off x="0" y="0"/>
            <a:ext cx="0" cy="0"/>
          </xdr:xfrm>
          <a:graphic>
            <a:graphicData uri="http://schemas.microsoft.com/office/drawing/2010/slicer">
              <sle:slicer xmlns:sle="http://schemas.microsoft.com/office/drawing/2010/slicer" name="chief_complaint"/>
            </a:graphicData>
          </a:graphic>
        </xdr:graphicFrame>
      </mc:Choice>
      <mc:Fallback>
        <xdr:sp macro="" textlink="">
          <xdr:nvSpPr>
            <xdr:cNvPr id="0" name=""/>
            <xdr:cNvSpPr>
              <a:spLocks noTextEdit="1"/>
            </xdr:cNvSpPr>
          </xdr:nvSpPr>
          <xdr:spPr>
            <a:xfrm>
              <a:off x="228600" y="4419600"/>
              <a:ext cx="2412626" cy="45252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15</xdr:row>
      <xdr:rowOff>171450</xdr:rowOff>
    </xdr:from>
    <xdr:to>
      <xdr:col>2</xdr:col>
      <xdr:colOff>409575</xdr:colOff>
      <xdr:row>22</xdr:row>
      <xdr:rowOff>19050</xdr:rowOff>
    </xdr:to>
    <mc:AlternateContent xmlns:mc="http://schemas.openxmlformats.org/markup-compatibility/2006">
      <mc:Choice xmlns:a14="http://schemas.microsoft.com/office/drawing/2010/main" Requires="a14">
        <xdr:graphicFrame macro="">
          <xdr:nvGraphicFramePr>
            <xdr:cNvPr id="15" name="severerity_level">
              <a:extLst>
                <a:ext uri="{FF2B5EF4-FFF2-40B4-BE49-F238E27FC236}">
                  <a16:creationId xmlns:a16="http://schemas.microsoft.com/office/drawing/2014/main" id="{A5A992B4-2A4A-426A-C523-C7A3102B2205}"/>
                </a:ext>
              </a:extLst>
            </xdr:cNvPr>
            <xdr:cNvGraphicFramePr/>
          </xdr:nvGraphicFramePr>
          <xdr:xfrm>
            <a:off x="0" y="0"/>
            <a:ext cx="0" cy="0"/>
          </xdr:xfrm>
          <a:graphic>
            <a:graphicData uri="http://schemas.microsoft.com/office/drawing/2010/slicer">
              <sle:slicer xmlns:sle="http://schemas.microsoft.com/office/drawing/2010/slicer" name="severerity_level"/>
            </a:graphicData>
          </a:graphic>
        </xdr:graphicFrame>
      </mc:Choice>
      <mc:Fallback>
        <xdr:sp macro="" textlink="">
          <xdr:nvSpPr>
            <xdr:cNvPr id="0" name=""/>
            <xdr:cNvSpPr>
              <a:spLocks noTextEdit="1"/>
            </xdr:cNvSpPr>
          </xdr:nvSpPr>
          <xdr:spPr>
            <a:xfrm>
              <a:off x="219075" y="3028950"/>
              <a:ext cx="2431676"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4</xdr:row>
      <xdr:rowOff>104775</xdr:rowOff>
    </xdr:from>
    <xdr:to>
      <xdr:col>2</xdr:col>
      <xdr:colOff>447675</xdr:colOff>
      <xdr:row>14</xdr:row>
      <xdr:rowOff>114300</xdr:rowOff>
    </xdr:to>
    <xdr:pic>
      <xdr:nvPicPr>
        <xdr:cNvPr id="19" name="Picture 18">
          <a:extLst>
            <a:ext uri="{FF2B5EF4-FFF2-40B4-BE49-F238E27FC236}">
              <a16:creationId xmlns:a16="http://schemas.microsoft.com/office/drawing/2014/main" id="{E934B4A2-489D-5D0D-8994-BA8FCAD95174}"/>
            </a:ext>
          </a:extLst>
        </xdr:cNvPr>
        <xdr:cNvPicPr>
          <a:picLocks noChangeAspect="1"/>
        </xdr:cNvPicPr>
      </xdr:nvPicPr>
      <xdr:blipFill>
        <a:blip xmlns:r="http://schemas.openxmlformats.org/officeDocument/2006/relationships" r:embed="rId7"/>
        <a:stretch>
          <a:fillRect/>
        </a:stretch>
      </xdr:blipFill>
      <xdr:spPr>
        <a:xfrm>
          <a:off x="171450" y="866775"/>
          <a:ext cx="2524125" cy="19145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31.749145254631" createdVersion="8" refreshedVersion="8" minRefreshableVersion="3" recordCount="6" xr:uid="{D5AB77B9-E302-4910-A528-7AA038763EBF}">
  <cacheSource type="worksheet">
    <worksheetSource name="pending_patient"/>
  </cacheSource>
  <cacheFields count="9">
    <cacheField name="patient_id" numFmtId="0">
      <sharedItems containsSemiMixedTypes="0" containsString="0" containsNumber="1" containsInteger="1" minValue="0" maxValue="5"/>
    </cacheField>
    <cacheField name="patient_name" numFmtId="0">
      <sharedItems/>
    </cacheField>
    <cacheField name="age" numFmtId="0">
      <sharedItems containsSemiMixedTypes="0" containsString="0" containsNumber="1" containsInteger="1" minValue="10" maxValue="26"/>
    </cacheField>
    <cacheField name="gender" numFmtId="0">
      <sharedItems/>
    </cacheField>
    <cacheField name="complete_address" numFmtId="0">
      <sharedItems/>
    </cacheField>
    <cacheField name="chief_complaint" numFmtId="0">
      <sharedItems/>
    </cacheField>
    <cacheField name="severity" numFmtId="0">
      <sharedItems/>
    </cacheField>
    <cacheField name="date_started" numFmtId="14">
      <sharedItems containsSemiMixedTypes="0" containsNonDate="0" containsDate="1" containsString="0" minDate="2026-01-08T00:00:00" maxDate="2026-01-10T00:00:00"/>
    </cacheField>
    <cacheField name="action"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31.749145486108" createdVersion="8" refreshedVersion="8" minRefreshableVersion="3" recordCount="5" xr:uid="{3A68E9BF-7EF0-4BF2-99B8-E6A8833A7266}">
  <cacheSource type="worksheet">
    <worksheetSource name="consultation_form"/>
  </cacheSource>
  <cacheFields count="15">
    <cacheField name="patient_id" numFmtId="0">
      <sharedItems containsSemiMixedTypes="0" containsString="0" containsNumber="1" containsInteger="1" minValue="1" maxValue="5"/>
    </cacheField>
    <cacheField name="fname" numFmtId="0">
      <sharedItems/>
    </cacheField>
    <cacheField name="lname" numFmtId="0">
      <sharedItems/>
    </cacheField>
    <cacheField name="dob" numFmtId="14">
      <sharedItems containsSemiMixedTypes="0" containsNonDate="0" containsDate="1" containsString="0" minDate="1999-04-10T00:00:00" maxDate="2015-09-18T00:00:00"/>
    </cacheField>
    <cacheField name="age" numFmtId="0">
      <sharedItems containsSemiMixedTypes="0" containsString="0" containsNumber="1" containsInteger="1" minValue="10" maxValue="26"/>
    </cacheField>
    <cacheField name="gender" numFmtId="0">
      <sharedItems count="3">
        <s v="Other"/>
        <s v="Male"/>
        <s v="Female"/>
      </sharedItems>
    </cacheField>
    <cacheField name="contact_no" numFmtId="0">
      <sharedItems/>
    </cacheField>
    <cacheField name="barangay" numFmtId="0">
      <sharedItems count="5">
        <s v="Tuburan"/>
        <s v="Dansolihon"/>
        <s v="Canito?an"/>
        <s v="Gusa"/>
        <s v="Lumbia"/>
      </sharedItems>
    </cacheField>
    <cacheField name="city" numFmtId="0">
      <sharedItems/>
    </cacheField>
    <cacheField name="email_address" numFmtId="0">
      <sharedItems/>
    </cacheField>
    <cacheField name="chief_complaint" numFmtId="0">
      <sharedItems count="5">
        <s v="dizziness"/>
        <s v="fever"/>
        <s v="wound"/>
        <s v="headache"/>
        <s v="stomach_ache"/>
      </sharedItems>
    </cacheField>
    <cacheField name="description" numFmtId="0">
      <sharedItems/>
    </cacheField>
    <cacheField name="date_started" numFmtId="14">
      <sharedItems containsSemiMixedTypes="0" containsNonDate="0" containsDate="1" containsString="0" minDate="2026-01-08T00:00:00" maxDate="2026-01-10T00:00:00"/>
    </cacheField>
    <cacheField name="severerity_level" numFmtId="0">
      <sharedItems count="3">
        <s v="Severe"/>
        <s v="Mild"/>
        <s v="Moderate"/>
      </sharedItems>
    </cacheField>
    <cacheField name="associated_symptoms" numFmtId="0">
      <sharedItems/>
    </cacheField>
  </cacheFields>
  <extLst>
    <ext xmlns:x14="http://schemas.microsoft.com/office/spreadsheetml/2009/9/main" uri="{725AE2AE-9491-48be-B2B4-4EB974FC3084}">
      <x14:pivotCacheDefinition pivotCacheId="4403806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31.749146759263" createdVersion="8" refreshedVersion="8" minRefreshableVersion="3" recordCount="4" xr:uid="{DB2C0BA6-701E-4CC4-8DCE-64C604A1C8AB}">
  <cacheSource type="worksheet">
    <worksheetSource name="patient_prescription"/>
  </cacheSource>
  <cacheFields count="12">
    <cacheField name="prescription_id" numFmtId="0">
      <sharedItems containsSemiMixedTypes="0" containsString="0" containsNumber="1" containsInteger="1" minValue="1" maxValue="4"/>
    </cacheField>
    <cacheField name="patient_id" numFmtId="0">
      <sharedItems containsSemiMixedTypes="0" containsString="0" containsNumber="1" containsInteger="1" minValue="0" maxValue="5"/>
    </cacheField>
    <cacheField name="consultation_id" numFmtId="0">
      <sharedItems containsSemiMixedTypes="0" containsString="0" containsNumber="1" containsInteger="1" minValue="1" maxValue="4"/>
    </cacheField>
    <cacheField name="medication_name" numFmtId="0">
      <sharedItems count="4">
        <s v="paracitamol"/>
        <s v="dsad"/>
        <s v="ghfgj"/>
        <s v="luperamide"/>
      </sharedItems>
    </cacheField>
    <cacheField name="dosage" numFmtId="0">
      <sharedItems/>
    </cacheField>
    <cacheField name="frequency" numFmtId="0">
      <sharedItems/>
    </cacheField>
    <cacheField name="route" numFmtId="0">
      <sharedItems count="2">
        <s v="Injection"/>
        <s v="Oral"/>
      </sharedItems>
    </cacheField>
    <cacheField name="duration" numFmtId="0">
      <sharedItems/>
    </cacheField>
    <cacheField name="additional_notes" numFmtId="0">
      <sharedItems/>
    </cacheField>
    <cacheField name="prescribing_doctor_nameorid" numFmtId="0">
      <sharedItems/>
    </cacheField>
    <cacheField name="prescription_datetime" numFmtId="22">
      <sharedItems containsSemiMixedTypes="0" containsNonDate="0" containsDate="1" containsString="0" minDate="2026-01-09T14:39:00" maxDate="2026-01-09T17:58:00"/>
    </cacheField>
    <cacheField name="created_at" numFmtId="22">
      <sharedItems containsSemiMixedTypes="0" containsNonDate="0" containsDate="1" containsString="0" minDate="2026-01-09T14:40:06" maxDate="2026-01-09T17:58:1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31.74914699074" createdVersion="8" refreshedVersion="8" minRefreshableVersion="3" recordCount="4" xr:uid="{C7999E7C-8E79-421D-BE3F-748AADCE53E8}">
  <cacheSource type="worksheet">
    <worksheetSource name="appointments"/>
  </cacheSource>
  <cacheFields count="14">
    <cacheField name="appointment_id" numFmtId="0">
      <sharedItems containsSemiMixedTypes="0" containsString="0" containsNumber="1" containsInteger="1" minValue="1" maxValue="4"/>
    </cacheField>
    <cacheField name="patient_id" numFmtId="0">
      <sharedItems containsSemiMixedTypes="0" containsString="0" containsNumber="1" containsInteger="1" minValue="0" maxValue="5"/>
    </cacheField>
    <cacheField name="patient_name" numFmtId="0">
      <sharedItems/>
    </cacheField>
    <cacheField name="chief_complaint" numFmtId="0">
      <sharedItems/>
    </cacheField>
    <cacheField name="description" numFmtId="0">
      <sharedItems/>
    </cacheField>
    <cacheField name="email" numFmtId="0">
      <sharedItems/>
    </cacheField>
    <cacheField name="clinic_location" numFmtId="0">
      <sharedItems count="1">
        <s v="lumbia clinic"/>
      </sharedItems>
    </cacheField>
    <cacheField name="schedule_date" numFmtId="14">
      <sharedItems containsSemiMixedTypes="0" containsNonDate="0" containsDate="1" containsString="0" minDate="2026-01-10T00:00:00" maxDate="2026-02-01T00:00:00"/>
    </cacheField>
    <cacheField name="schedule_time" numFmtId="164">
      <sharedItems containsSemiMixedTypes="0" containsNonDate="0" containsDate="1" containsString="0" minDate="1899-12-30T01:40:00" maxDate="1899-12-30T19:40:00"/>
    </cacheField>
    <cacheField name="created_at" numFmtId="22">
      <sharedItems containsSemiMixedTypes="0" containsNonDate="0" containsDate="1" containsString="0" minDate="2026-01-09T14:37:45" maxDate="2026-01-09T17:56:58"/>
    </cacheField>
    <cacheField name="status" numFmtId="0">
      <sharedItems/>
    </cacheField>
    <cacheField name="assessment_completed" numFmtId="0">
      <sharedItems containsSemiMixedTypes="0" containsString="0" containsNumber="1" containsInteger="1" minValue="1" maxValue="1"/>
    </cacheField>
    <cacheField name="diagnosis_completed" numFmtId="0">
      <sharedItems containsSemiMixedTypes="0" containsString="0" containsNumber="1" containsInteger="1" minValue="1" maxValue="1"/>
    </cacheField>
    <cacheField name="prescription_completed"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n v="0"/>
    <s v="paolo pasia"/>
    <n v="21"/>
    <s v="Other"/>
    <s v="Tuburan, Cagayan de Oro"/>
    <s v="dizziness"/>
    <s v="Severe"/>
    <d v="2026-01-08T00:00:00"/>
    <s v="Pending"/>
  </r>
  <r>
    <n v="2"/>
    <s v="japjap  doroin"/>
    <n v="10"/>
    <s v="Male"/>
    <s v="Dansolihon, Cagayan de Oro"/>
    <s v="fever"/>
    <s v="Mild"/>
    <d v="2026-01-08T00:00:00"/>
    <s v="Pending"/>
  </r>
  <r>
    <n v="1"/>
    <s v="paolo pasia"/>
    <n v="21"/>
    <s v="Other"/>
    <s v="Tuburan, Cagayan de Oro"/>
    <s v="dizziness"/>
    <s v="Severe"/>
    <d v="2026-01-08T00:00:00"/>
    <s v="Pending"/>
  </r>
  <r>
    <n v="3"/>
    <s v="baren dosol"/>
    <n v="25"/>
    <s v="Male"/>
    <s v="Canito?an, Cagayan de Oro"/>
    <s v="wound"/>
    <s v="Severe"/>
    <d v="2026-01-09T00:00:00"/>
    <s v="Pending"/>
  </r>
  <r>
    <n v="4"/>
    <s v="burbur lightning unkown"/>
    <n v="22"/>
    <s v="Female"/>
    <s v="Gusa, Cagayan de Oro"/>
    <s v="headache"/>
    <s v="Moderate"/>
    <d v="2026-01-08T00:00:00"/>
    <s v="Pending"/>
  </r>
  <r>
    <n v="5"/>
    <s v="rosevie ODARVE"/>
    <n v="26"/>
    <s v="Female"/>
    <s v="Lumbia, Cagayan de Oro"/>
    <s v="stomach_ache"/>
    <s v="Mild"/>
    <d v="2026-01-08T00:00:00"/>
    <s v="Pending"/>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
    <s v="paolo"/>
    <s v="pasia"/>
    <d v="2004-05-07T00:00:00"/>
    <n v="21"/>
    <x v="0"/>
    <s v="09876543210"/>
    <x v="0"/>
    <s v="Cagayan de Oro"/>
    <s v="torensodarve@gmail.com"/>
    <x v="0"/>
    <s v="subrtaan butoy"/>
    <d v="2026-01-08T00:00:00"/>
    <x v="0"/>
    <s v="oh"/>
  </r>
  <r>
    <n v="2"/>
    <s v="japjap "/>
    <s v="doroin"/>
    <d v="2015-09-17T00:00:00"/>
    <n v="10"/>
    <x v="1"/>
    <s v="09264939879"/>
    <x v="1"/>
    <s v="Cagayan de Oro"/>
    <s v="japjap@gmail.com"/>
    <x v="1"/>
    <s v="dsadsadsa"/>
    <d v="2026-01-08T00:00:00"/>
    <x v="1"/>
    <s v="dsadasdsa"/>
  </r>
  <r>
    <n v="3"/>
    <s v="baren"/>
    <s v="dosol"/>
    <d v="2000-05-07T00:00:00"/>
    <n v="25"/>
    <x v="1"/>
    <s v="09264939879"/>
    <x v="2"/>
    <s v="Cagayan de Oro"/>
    <s v="baren@gmail.com"/>
    <x v="2"/>
    <s v="bali tiil"/>
    <d v="2026-01-09T00:00:00"/>
    <x v="0"/>
    <s v="wa gyud bali gyud"/>
  </r>
  <r>
    <n v="4"/>
    <s v="burbur"/>
    <s v="lightning unkown"/>
    <d v="2003-06-18T00:00:00"/>
    <n v="22"/>
    <x v="2"/>
    <s v="09264939879"/>
    <x v="3"/>
    <s v="Cagayan de Oro"/>
    <s v="baren@gmail.com"/>
    <x v="3"/>
    <s v="labad ulo"/>
    <d v="2026-01-08T00:00:00"/>
    <x v="2"/>
    <s v="wowww hello"/>
  </r>
  <r>
    <n v="5"/>
    <s v="rosevie"/>
    <s v="ODARVE"/>
    <d v="1999-04-10T00:00:00"/>
    <n v="26"/>
    <x v="2"/>
    <s v="09264939879"/>
    <x v="4"/>
    <s v="Cagayan de Oro"/>
    <s v="rosevieodarve@gmail.com"/>
    <x v="4"/>
    <s v="sakit tiyan"/>
    <d v="2026-01-08T00:00:00"/>
    <x v="1"/>
    <s v="sakit tiyan jud labad pud ulo"/>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n v="1"/>
    <n v="0"/>
    <n v="1"/>
    <x v="0"/>
    <s v="500mg"/>
    <s v="wasd"/>
    <x v="0"/>
    <s v="12"/>
    <s v="asd"/>
    <s v="asd"/>
    <d v="2026-01-09T14:39:00"/>
    <d v="2026-01-09T14:40:06"/>
  </r>
  <r>
    <n v="2"/>
    <n v="2"/>
    <n v="2"/>
    <x v="1"/>
    <s v="500mg"/>
    <s v="wasd"/>
    <x v="1"/>
    <s v="12"/>
    <s v="dsadsa"/>
    <s v="asd"/>
    <d v="2026-01-09T14:55:00"/>
    <d v="2026-01-09T14:55:43"/>
  </r>
  <r>
    <n v="3"/>
    <n v="3"/>
    <n v="3"/>
    <x v="2"/>
    <s v="500mg"/>
    <s v="wasd"/>
    <x v="1"/>
    <s v="12"/>
    <s v="hfgjhfgjfg"/>
    <s v="asd"/>
    <d v="2026-01-09T15:38:00"/>
    <d v="2026-01-09T15:38:43"/>
  </r>
  <r>
    <n v="4"/>
    <n v="5"/>
    <n v="4"/>
    <x v="3"/>
    <s v="500mg"/>
    <s v="wasd"/>
    <x v="1"/>
    <s v="12"/>
    <s v="inom ininit tubig"/>
    <s v="torens"/>
    <d v="2026-01-09T17:58:00"/>
    <d v="2026-01-09T17:58:1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n v="1"/>
    <n v="0"/>
    <s v="paolo pasia"/>
    <s v="dizziness"/>
    <s v="subrtaan butoy"/>
    <s v="torensodarve@gmail.com"/>
    <x v="0"/>
    <d v="2026-01-31T00:00:00"/>
    <d v="1899-12-30T01:40:00"/>
    <d v="2026-01-09T14:37:45"/>
    <s v=""/>
    <n v="1"/>
    <n v="1"/>
    <n v="1"/>
  </r>
  <r>
    <n v="2"/>
    <n v="2"/>
    <s v="japjap  doroin"/>
    <s v="fever"/>
    <s v="dsadsadsa"/>
    <s v="japjap@gmail.com"/>
    <x v="0"/>
    <d v="2026-01-31T00:00:00"/>
    <d v="1899-12-30T07:00:00"/>
    <d v="2026-01-09T14:55:07"/>
    <s v=""/>
    <n v="1"/>
    <n v="1"/>
    <n v="1"/>
  </r>
  <r>
    <n v="3"/>
    <n v="3"/>
    <s v="baren dosol"/>
    <s v="wound"/>
    <s v="bali tiil"/>
    <s v="baren@gmail.com"/>
    <x v="0"/>
    <d v="2026-01-31T00:00:00"/>
    <d v="1899-12-30T19:40:00"/>
    <d v="2026-01-09T15:37:56"/>
    <s v=""/>
    <n v="1"/>
    <n v="1"/>
    <n v="1"/>
  </r>
  <r>
    <n v="4"/>
    <n v="5"/>
    <s v="rosevie ODARVE"/>
    <s v="stomach ache"/>
    <s v="sakit tiyan"/>
    <s v="rosevieodarve@gmail.com"/>
    <x v="0"/>
    <d v="2026-01-10T00:00:00"/>
    <d v="1899-12-30T10:00:00"/>
    <d v="2026-01-09T17:56:58"/>
    <s v=""/>
    <n v="1"/>
    <n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57F0C0-C770-4FAF-85C3-09ACD46AEC06}" name="PivotTable1"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G25" firstHeaderRow="1" firstDataRow="1" firstDataCol="0"/>
  <pivotFields count="9">
    <pivotField showAll="0"/>
    <pivotField showAll="0"/>
    <pivotField showAll="0"/>
    <pivotField showAll="0"/>
    <pivotField showAll="0"/>
    <pivotField showAll="0"/>
    <pivotField showAll="0"/>
    <pivotField numFmtId="14"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824225-833B-42A9-9E4E-54CB36F1B201}" name="PivotTable17"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8:E110" firstHeaderRow="1" firstDataRow="1" firstDataCol="1"/>
  <pivotFields count="14">
    <pivotField showAll="0"/>
    <pivotField showAll="0"/>
    <pivotField showAll="0"/>
    <pivotField showAll="0"/>
    <pivotField showAll="0"/>
    <pivotField showAll="0"/>
    <pivotField axis="axisRow" showAll="0">
      <items count="2">
        <item x="0"/>
        <item t="default"/>
      </items>
    </pivotField>
    <pivotField numFmtId="14" showAll="0"/>
    <pivotField numFmtId="164" showAll="0"/>
    <pivotField numFmtId="22" showAll="0"/>
    <pivotField showAll="0"/>
    <pivotField showAll="0"/>
    <pivotField showAll="0"/>
    <pivotField showAll="0"/>
  </pivotFields>
  <rowFields count="1">
    <field x="6"/>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2DC4C7-15B3-4528-8324-9DCEC5AAED9C}" name="PivotTable16"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8:C109" firstHeaderRow="1" firstDataRow="1" firstDataCol="0"/>
  <pivotFields count="14">
    <pivotField dataField="1" showAll="0"/>
    <pivotField showAll="0"/>
    <pivotField showAll="0"/>
    <pivotField showAll="0"/>
    <pivotField showAll="0"/>
    <pivotField showAll="0"/>
    <pivotField showAll="0"/>
    <pivotField numFmtId="14" showAll="0"/>
    <pivotField numFmtId="164" showAll="0"/>
    <pivotField numFmtId="22" showAll="0"/>
    <pivotField showAll="0"/>
    <pivotField showAll="0"/>
    <pivotField showAll="0"/>
    <pivotField showAll="0"/>
  </pivotFields>
  <rowItems count="1">
    <i/>
  </rowItems>
  <colItems count="1">
    <i/>
  </colItems>
  <dataFields count="1">
    <dataField name="Count of appointm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5D6FE5-7AD1-4E27-A9CC-39404234CC2E}" name="PivotTable15"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8:A109" firstHeaderRow="1" firstDataRow="1" firstDataCol="0"/>
  <pivotFields count="15">
    <pivotField dataField="1" showAll="0"/>
    <pivotField showAll="0"/>
    <pivotField showAll="0"/>
    <pivotField numFmtId="14" showAll="0"/>
    <pivotField showAll="0"/>
    <pivotField showAll="0"/>
    <pivotField showAll="0"/>
    <pivotField showAll="0"/>
    <pivotField showAll="0"/>
    <pivotField showAll="0"/>
    <pivotField showAll="0">
      <items count="6">
        <item x="0"/>
        <item x="1"/>
        <item x="3"/>
        <item x="4"/>
        <item x="2"/>
        <item t="default"/>
      </items>
    </pivotField>
    <pivotField showAll="0"/>
    <pivotField numFmtId="14" showAll="0"/>
    <pivotField showAll="0">
      <items count="4">
        <item x="1"/>
        <item x="2"/>
        <item x="0"/>
        <item t="default"/>
      </items>
    </pivotField>
    <pivotField showAll="0"/>
  </pivotFields>
  <rowItems count="1">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75B9D0-ADD1-499A-A5E3-21E43BF0D628}" name="PivotTable14"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81:T82" firstHeaderRow="1" firstDataRow="1" firstDataCol="0"/>
  <pivotFields count="14">
    <pivotField showAll="0"/>
    <pivotField showAll="0"/>
    <pivotField dataField="1" showAll="0"/>
    <pivotField showAll="0"/>
    <pivotField showAll="0"/>
    <pivotField showAll="0"/>
    <pivotField showAll="0"/>
    <pivotField numFmtId="14" showAll="0"/>
    <pivotField numFmtId="164" showAll="0"/>
    <pivotField numFmtId="22" showAll="0"/>
    <pivotField showAll="0"/>
    <pivotField showAll="0"/>
    <pivotField showAll="0"/>
    <pivotField showAll="0"/>
  </pivotFields>
  <rowItems count="1">
    <i/>
  </rowItems>
  <colItems count="1">
    <i/>
  </colItems>
  <dataFields count="1">
    <dataField name="Count of patient_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9C3398-E2D6-4248-97D6-A5DDC29AA3E4}" name="PivotTable12"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7:E81" firstHeaderRow="1" firstDataRow="1" firstDataCol="1"/>
  <pivotFields count="15">
    <pivotField dataField="1" showAll="0"/>
    <pivotField showAll="0"/>
    <pivotField showAll="0"/>
    <pivotField numFmtId="14" showAll="0"/>
    <pivotField showAll="0"/>
    <pivotField showAll="0"/>
    <pivotField showAll="0"/>
    <pivotField showAll="0"/>
    <pivotField showAll="0"/>
    <pivotField showAll="0"/>
    <pivotField showAll="0">
      <items count="6">
        <item x="0"/>
        <item x="1"/>
        <item x="3"/>
        <item x="4"/>
        <item x="2"/>
        <item t="default"/>
      </items>
    </pivotField>
    <pivotField showAll="0"/>
    <pivotField numFmtId="14" showAll="0"/>
    <pivotField axis="axisRow" showAll="0">
      <items count="4">
        <item x="1"/>
        <item x="2"/>
        <item x="0"/>
        <item t="default"/>
      </items>
    </pivotField>
    <pivotField showAll="0"/>
  </pivotFields>
  <rowFields count="1">
    <field x="13"/>
  </rowFields>
  <rowItems count="4">
    <i>
      <x/>
    </i>
    <i>
      <x v="1"/>
    </i>
    <i>
      <x v="2"/>
    </i>
    <i t="grand">
      <x/>
    </i>
  </rowItems>
  <colItems count="1">
    <i/>
  </colItems>
  <dataFields count="1">
    <dataField name="Sum of patient_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D97E16-979F-4692-8133-A06862DE583D}" name="PivotTable11"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71:L88" firstHeaderRow="1" firstDataRow="1" firstDataCol="0"/>
  <pivotFields count="15">
    <pivotField showAll="0"/>
    <pivotField showAll="0"/>
    <pivotField showAll="0"/>
    <pivotField numFmtId="14" showAll="0"/>
    <pivotField showAll="0"/>
    <pivotField showAll="0"/>
    <pivotField showAll="0"/>
    <pivotField showAll="0"/>
    <pivotField showAll="0"/>
    <pivotField showAll="0"/>
    <pivotField showAll="0">
      <items count="6">
        <item x="0"/>
        <item x="1"/>
        <item x="3"/>
        <item x="4"/>
        <item x="2"/>
        <item t="default"/>
      </items>
    </pivotField>
    <pivotField showAll="0"/>
    <pivotField numFmtId="14" showAll="0"/>
    <pivotField showAll="0">
      <items count="4">
        <item x="1"/>
        <item x="2"/>
        <item x="0"/>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AEFADC-D058-41D3-8E26-BB0C7CA5A551}" name="PivotTable10"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73:H76" firstHeaderRow="1" firstDataRow="1" firstDataCol="1"/>
  <pivotFields count="12">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numFmtId="22" showAll="0"/>
    <pivotField numFmtId="22" showAll="0"/>
  </pivotFields>
  <rowFields count="1">
    <field x="6"/>
  </rowFields>
  <rowItems count="3">
    <i>
      <x/>
    </i>
    <i>
      <x v="1"/>
    </i>
    <i t="grand">
      <x/>
    </i>
  </rowItems>
  <colItems count="1">
    <i/>
  </colItems>
  <dataFields count="1">
    <dataField name="Count of route" fld="6" subtotal="count" baseField="0" baseItem="0"/>
  </dataFields>
  <chartFormats count="4">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6" count="1" selected="0">
            <x v="0"/>
          </reference>
        </references>
      </pivotArea>
    </chartFormat>
    <chartFormat chart="5"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22A15E-5D1F-4529-BDB0-344688A4401A}" name="PivotTable9"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70:D75" firstHeaderRow="1" firstDataRow="1" firstDataCol="1"/>
  <pivotFields count="12">
    <pivotField showAll="0"/>
    <pivotField showAll="0"/>
    <pivotField showAll="0"/>
    <pivotField axis="axisRow" dataField="1" showAll="0">
      <items count="5">
        <item x="1"/>
        <item x="2"/>
        <item x="0"/>
        <item x="3"/>
        <item t="default"/>
      </items>
    </pivotField>
    <pivotField showAll="0"/>
    <pivotField showAll="0"/>
    <pivotField showAll="0"/>
    <pivotField showAll="0"/>
    <pivotField showAll="0"/>
    <pivotField showAll="0"/>
    <pivotField numFmtId="22" showAll="0"/>
    <pivotField numFmtId="22" showAll="0"/>
  </pivotFields>
  <rowFields count="1">
    <field x="3"/>
  </rowFields>
  <rowItems count="5">
    <i>
      <x/>
    </i>
    <i>
      <x v="1"/>
    </i>
    <i>
      <x v="2"/>
    </i>
    <i>
      <x v="3"/>
    </i>
    <i t="grand">
      <x/>
    </i>
  </rowItems>
  <colItems count="1">
    <i/>
  </colItems>
  <dataFields count="1">
    <dataField name="Count of medication_name" fld="3"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30A958-997C-4496-99E3-5A35F6BEB734}" name="PivotTable7"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62:C66" firstHeaderRow="1" firstDataRow="1" firstDataCol="1"/>
  <pivotFields count="15">
    <pivotField showAll="0"/>
    <pivotField showAll="0"/>
    <pivotField showAll="0"/>
    <pivotField numFmtId="14" showAll="0"/>
    <pivotField showAll="0"/>
    <pivotField showAll="0"/>
    <pivotField showAll="0"/>
    <pivotField showAll="0"/>
    <pivotField showAll="0"/>
    <pivotField showAll="0"/>
    <pivotField showAll="0">
      <items count="6">
        <item x="0"/>
        <item x="1"/>
        <item x="3"/>
        <item x="4"/>
        <item x="2"/>
        <item t="default"/>
      </items>
    </pivotField>
    <pivotField showAll="0"/>
    <pivotField numFmtId="14" showAll="0"/>
    <pivotField axis="axisRow" dataField="1" showAll="0">
      <items count="4">
        <item x="1"/>
        <item x="2"/>
        <item x="0"/>
        <item t="default"/>
      </items>
    </pivotField>
    <pivotField showAll="0"/>
  </pivotFields>
  <rowFields count="1">
    <field x="13"/>
  </rowFields>
  <rowItems count="4">
    <i>
      <x/>
    </i>
    <i>
      <x v="1"/>
    </i>
    <i>
      <x v="2"/>
    </i>
    <i t="grand">
      <x/>
    </i>
  </rowItems>
  <colItems count="1">
    <i/>
  </colItems>
  <dataFields count="1">
    <dataField name="Count of severerity_level" fld="13"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941E7FE-4B11-4040-985A-BC7F498C734B}" name="PivotTable5"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7:C53" firstHeaderRow="1" firstDataRow="1" firstDataCol="1"/>
  <pivotFields count="15">
    <pivotField showAll="0"/>
    <pivotField showAll="0"/>
    <pivotField showAll="0"/>
    <pivotField numFmtId="14" showAll="0"/>
    <pivotField showAll="0"/>
    <pivotField showAll="0"/>
    <pivotField showAll="0"/>
    <pivotField showAll="0"/>
    <pivotField showAll="0"/>
    <pivotField showAll="0"/>
    <pivotField axis="axisRow" dataField="1" showAll="0">
      <items count="6">
        <item x="0"/>
        <item x="1"/>
        <item x="3"/>
        <item x="2"/>
        <item x="4"/>
        <item t="default"/>
      </items>
    </pivotField>
    <pivotField showAll="0"/>
    <pivotField numFmtId="14" showAll="0"/>
    <pivotField showAll="0">
      <items count="4">
        <item x="1"/>
        <item x="2"/>
        <item x="0"/>
        <item t="default"/>
      </items>
    </pivotField>
    <pivotField showAll="0"/>
  </pivotFields>
  <rowFields count="1">
    <field x="10"/>
  </rowFields>
  <rowItems count="6">
    <i>
      <x/>
    </i>
    <i>
      <x v="1"/>
    </i>
    <i>
      <x v="2"/>
    </i>
    <i>
      <x v="3"/>
    </i>
    <i>
      <x v="4"/>
    </i>
    <i t="grand">
      <x/>
    </i>
  </rowItems>
  <colItems count="1">
    <i/>
  </colItems>
  <dataFields count="1">
    <dataField name="Count of chief_complaint" fld="1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8AA25C5-0CC9-430C-9A98-C606FD9C3B2B}" name="PivotTable4"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8:B32" firstHeaderRow="1" firstDataRow="1" firstDataCol="1"/>
  <pivotFields count="15">
    <pivotField showAll="0"/>
    <pivotField showAll="0"/>
    <pivotField showAll="0"/>
    <pivotField numFmtId="14" showAll="0"/>
    <pivotField showAll="0"/>
    <pivotField axis="axisRow" dataField="1" showAll="0">
      <items count="4">
        <item x="2"/>
        <item x="1"/>
        <item x="0"/>
        <item t="default"/>
      </items>
    </pivotField>
    <pivotField showAll="0"/>
    <pivotField showAll="0"/>
    <pivotField showAll="0"/>
    <pivotField showAll="0"/>
    <pivotField showAll="0">
      <items count="6">
        <item x="0"/>
        <item x="1"/>
        <item x="3"/>
        <item x="4"/>
        <item x="2"/>
        <item t="default"/>
      </items>
    </pivotField>
    <pivotField showAll="0"/>
    <pivotField numFmtId="14" showAll="0"/>
    <pivotField showAll="0">
      <items count="4">
        <item x="1"/>
        <item x="2"/>
        <item x="0"/>
        <item t="default"/>
      </items>
    </pivotField>
    <pivotField showAll="0"/>
  </pivotFields>
  <rowFields count="1">
    <field x="5"/>
  </rowFields>
  <rowItems count="4">
    <i>
      <x/>
    </i>
    <i>
      <x v="1"/>
    </i>
    <i>
      <x v="2"/>
    </i>
    <i t="grand">
      <x/>
    </i>
  </rowItems>
  <colItems count="1">
    <i/>
  </colItems>
  <dataFields count="1">
    <dataField name="Count of gender" fld="5" subtotal="count"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6D9544C-3EB8-44A0-AF0D-50E20BBC7F54}" name="PivotTable2"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5">
    <pivotField showAll="0"/>
    <pivotField showAll="0"/>
    <pivotField showAll="0"/>
    <pivotField numFmtId="14" showAll="0"/>
    <pivotField showAll="0"/>
    <pivotField showAll="0"/>
    <pivotField showAll="0"/>
    <pivotField axis="axisRow" dataField="1" showAll="0">
      <items count="6">
        <item x="2"/>
        <item x="1"/>
        <item x="3"/>
        <item x="0"/>
        <item x="4"/>
        <item t="default"/>
      </items>
    </pivotField>
    <pivotField showAll="0"/>
    <pivotField showAll="0"/>
    <pivotField showAll="0"/>
    <pivotField showAll="0"/>
    <pivotField numFmtId="14" showAll="0"/>
    <pivotField showAll="0">
      <items count="4">
        <item x="1"/>
        <item x="2"/>
        <item x="0"/>
        <item t="default"/>
      </items>
    </pivotField>
    <pivotField showAll="0"/>
  </pivotFields>
  <rowFields count="1">
    <field x="7"/>
  </rowFields>
  <rowItems count="6">
    <i>
      <x/>
    </i>
    <i>
      <x v="1"/>
    </i>
    <i>
      <x v="2"/>
    </i>
    <i>
      <x v="3"/>
    </i>
    <i>
      <x v="4"/>
    </i>
    <i t="grand">
      <x/>
    </i>
  </rowItems>
  <colItems count="1">
    <i/>
  </colItems>
  <dataFields count="1">
    <dataField name="Count of barangay" fld="7"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6" xr16:uid="{725494AA-5A61-4437-BAF4-F8EA1A91145A}" autoFormatId="16" applyNumberFormats="0" applyBorderFormats="0" applyFontFormats="0" applyPatternFormats="0" applyAlignmentFormats="0" applyWidthHeightFormats="0">
  <queryTableRefresh nextId="10">
    <queryTableFields count="9">
      <queryTableField id="1" name="patient_id" tableColumnId="1"/>
      <queryTableField id="2" name="patient_name" tableColumnId="2"/>
      <queryTableField id="3" name="age" tableColumnId="3"/>
      <queryTableField id="4" name="gender" tableColumnId="4"/>
      <queryTableField id="5" name="complete_address" tableColumnId="5"/>
      <queryTableField id="6" name="chief_complaint" tableColumnId="6"/>
      <queryTableField id="7" name="severity" tableColumnId="7"/>
      <queryTableField id="8" name="date_started" tableColumnId="8"/>
      <queryTableField id="9" name="action"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3498BD9B-C071-4621-B368-07925754DC98}" autoFormatId="16" applyNumberFormats="0" applyBorderFormats="0" applyFontFormats="0" applyPatternFormats="0" applyAlignmentFormats="0" applyWidthHeightFormats="0">
  <queryTableRefresh nextId="13">
    <queryTableFields count="12">
      <queryTableField id="1" name="prescription_id" tableColumnId="1"/>
      <queryTableField id="2" name="patient_id" tableColumnId="2"/>
      <queryTableField id="3" name="consultation_id" tableColumnId="3"/>
      <queryTableField id="4" name="medication_name" tableColumnId="4"/>
      <queryTableField id="5" name="dosage" tableColumnId="5"/>
      <queryTableField id="6" name="frequency" tableColumnId="6"/>
      <queryTableField id="7" name="route" tableColumnId="7"/>
      <queryTableField id="8" name="duration" tableColumnId="8"/>
      <queryTableField id="9" name="additional_notes" tableColumnId="9"/>
      <queryTableField id="10" name="prescribing_doctor_nameorid" tableColumnId="10"/>
      <queryTableField id="11" name="prescription_datetime" tableColumnId="11"/>
      <queryTableField id="12" name="created_at"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66CE5933-5F47-473E-A79D-B66856DD86BE}" autoFormatId="16" applyNumberFormats="0" applyBorderFormats="0" applyFontFormats="0" applyPatternFormats="0" applyAlignmentFormats="0" applyWidthHeightFormats="0">
  <queryTableRefresh nextId="11">
    <queryTableFields count="10">
      <queryTableField id="1" name="consultation_id" tableColumnId="1"/>
      <queryTableField id="2" name="patient_id" tableColumnId="2"/>
      <queryTableField id="3" name="diagnosis" tableColumnId="3"/>
      <queryTableField id="4" name="clinical_findings" tableColumnId="4"/>
      <queryTableField id="5" name="notes" tableColumnId="5"/>
      <queryTableField id="6" name="treatment_plan" tableColumnId="6"/>
      <queryTableField id="7" name="recommended_test" tableColumnId="7"/>
      <queryTableField id="8" name="diagnosis_dateandtime" tableColumnId="8"/>
      <queryTableField id="9" name="doctor_nameorid" tableColumnId="9"/>
      <queryTableField id="10" name="created_at"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04D02199-6E48-4E46-AE5A-B873CF2FAA83}" autoFormatId="16" applyNumberFormats="0" applyBorderFormats="0" applyFontFormats="0" applyPatternFormats="0" applyAlignmentFormats="0" applyWidthHeightFormats="0">
  <queryTableRefresh nextId="16">
    <queryTableFields count="15">
      <queryTableField id="1" name="patient_id" tableColumnId="1"/>
      <queryTableField id="2" name="fname" tableColumnId="2"/>
      <queryTableField id="3" name="lname" tableColumnId="3"/>
      <queryTableField id="4" name="dob" tableColumnId="4"/>
      <queryTableField id="5" name="age" tableColumnId="5"/>
      <queryTableField id="6" name="gender" tableColumnId="6"/>
      <queryTableField id="7" name="contact_no" tableColumnId="7"/>
      <queryTableField id="8" name="barangay" tableColumnId="8"/>
      <queryTableField id="9" name="city" tableColumnId="9"/>
      <queryTableField id="10" name="email_address" tableColumnId="10"/>
      <queryTableField id="11" name="chief_complaint" tableColumnId="11"/>
      <queryTableField id="12" name="description" tableColumnId="12"/>
      <queryTableField id="13" name="date_started" tableColumnId="13"/>
      <queryTableField id="14" name="severerity_level" tableColumnId="14"/>
      <queryTableField id="15" name="associated_symptoms" tableColumnId="1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14ACAD5B-51CD-451E-A22A-2444ACF61545}" autoFormatId="16" applyNumberFormats="0" applyBorderFormats="0" applyFontFormats="0" applyPatternFormats="0" applyAlignmentFormats="0" applyWidthHeightFormats="0">
  <queryTableRefresh nextId="12">
    <queryTableFields count="11">
      <queryTableField id="1" name="assessment_id" tableColumnId="1"/>
      <queryTableField id="2" name="patient_id" tableColumnId="2"/>
      <queryTableField id="3" name="patient_name" tableColumnId="3"/>
      <queryTableField id="4" name="blood_pressure" tableColumnId="4"/>
      <queryTableField id="5" name="body_temp" tableColumnId="5"/>
      <queryTableField id="6" name="pulse_rate" tableColumnId="6"/>
      <queryTableField id="7" name="respiratory_rate" tableColumnId="7"/>
      <queryTableField id="8" name="weight" tableColumnId="8"/>
      <queryTableField id="9" name="height" tableColumnId="9"/>
      <queryTableField id="10" name="assessment_datetime" tableColumnId="10"/>
      <queryTableField id="11" name="created_at" tableColumnId="1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B08F0EFF-B498-4922-9764-108A21BF4ACE}" autoFormatId="16" applyNumberFormats="0" applyBorderFormats="0" applyFontFormats="0" applyPatternFormats="0" applyAlignmentFormats="0" applyWidthHeightFormats="0">
  <queryTableRefresh nextId="15">
    <queryTableFields count="14">
      <queryTableField id="1" name="appointment_id" tableColumnId="1"/>
      <queryTableField id="2" name="patient_id" tableColumnId="2"/>
      <queryTableField id="3" name="patient_name" tableColumnId="3"/>
      <queryTableField id="4" name="chief_complaint" tableColumnId="4"/>
      <queryTableField id="5" name="description" tableColumnId="5"/>
      <queryTableField id="6" name="email" tableColumnId="6"/>
      <queryTableField id="7" name="clinic_location" tableColumnId="7"/>
      <queryTableField id="8" name="schedule_date" tableColumnId="8"/>
      <queryTableField id="9" name="schedule_time" tableColumnId="9"/>
      <queryTableField id="10" name="created_at" tableColumnId="10"/>
      <queryTableField id="11" name="status" tableColumnId="11"/>
      <queryTableField id="12" name="assessment_completed" tableColumnId="12"/>
      <queryTableField id="13" name="diagnosis_completed" tableColumnId="13"/>
      <queryTableField id="14" name="prescription_completed"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ef_complaint" xr10:uid="{9CE2B94C-0C5E-4F99-840F-F740F1E6B065}" sourceName="chief_complaint">
  <pivotTables>
    <pivotTable tabId="10" name="PivotTable5"/>
    <pivotTable tabId="10" name="PivotTable11"/>
    <pivotTable tabId="10" name="PivotTable12"/>
    <pivotTable tabId="10" name="PivotTable15"/>
    <pivotTable tabId="10" name="PivotTable4"/>
    <pivotTable tabId="10" name="PivotTable7"/>
  </pivotTables>
  <data>
    <tabular pivotCacheId="44038060">
      <items count="5">
        <i x="0" s="1"/>
        <i x="1"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erity_level" xr10:uid="{E18BB876-9535-429F-84E8-E99064AE9BC7}" sourceName="severerity_level">
  <pivotTables>
    <pivotTable tabId="10" name="PivotTable5"/>
    <pivotTable tabId="10" name="PivotTable11"/>
    <pivotTable tabId="10" name="PivotTable12"/>
    <pivotTable tabId="10" name="PivotTable15"/>
    <pivotTable tabId="10" name="PivotTable2"/>
    <pivotTable tabId="10" name="PivotTable4"/>
    <pivotTable tabId="10" name="PivotTable7"/>
  </pivotTables>
  <data>
    <tabular pivotCacheId="4403806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ief_complaint" xr10:uid="{479E9FAF-25FF-45EA-8EE0-514BE45DDF41}" cache="Slicer_chief_complaint" caption="chief_complaint" rowHeight="241300"/>
  <slicer name="severerity_level" xr10:uid="{84DE7453-48FD-4768-BA18-9F4FC11A89BC}" cache="Slicer_severerity_level" caption="severerity_level"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3967779-561F-4659-8164-44D7B31DA7FE}" name="pending_patient" displayName="pending_patient" ref="A1:I7" tableType="queryTable" totalsRowShown="0">
  <autoFilter ref="A1:I7" xr:uid="{93967779-561F-4659-8164-44D7B31DA7FE}"/>
  <tableColumns count="9">
    <tableColumn id="1" xr3:uid="{80674E9B-9848-4E1A-B303-36FF5A297A45}" uniqueName="1" name="patient_id" queryTableFieldId="1"/>
    <tableColumn id="2" xr3:uid="{32591593-AD8E-427D-88DA-9AD1C9E3E719}" uniqueName="2" name="patient_name" queryTableFieldId="2" dataDxfId="49"/>
    <tableColumn id="3" xr3:uid="{6317CCBB-6537-44BD-A3C6-11C511BA70AC}" uniqueName="3" name="age" queryTableFieldId="3"/>
    <tableColumn id="4" xr3:uid="{9B92EB07-DA53-46A6-8FE2-8D118D7D53F7}" uniqueName="4" name="gender" queryTableFieldId="4" dataDxfId="48"/>
    <tableColumn id="5" xr3:uid="{0AF9649E-05DD-4BA1-AA5D-299C7B6B25C2}" uniqueName="5" name="complete_address" queryTableFieldId="5" dataDxfId="47"/>
    <tableColumn id="6" xr3:uid="{82008C77-F7C9-47FE-9979-3EA53EA5AE15}" uniqueName="6" name="chief_complaint" queryTableFieldId="6" dataDxfId="46"/>
    <tableColumn id="7" xr3:uid="{12A457FF-5232-42EE-8DA9-92C7E59E61E6}" uniqueName="7" name="severity" queryTableFieldId="7" dataDxfId="45"/>
    <tableColumn id="8" xr3:uid="{86C5F984-217D-4404-9132-ACDDCAE1932C}" uniqueName="8" name="date_started" queryTableFieldId="8" dataDxfId="44"/>
    <tableColumn id="9" xr3:uid="{15683A35-5587-484C-95FA-DB3E8B2011D3}" uniqueName="9" name="action" queryTableFieldId="9" dataDxfId="4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5486E47-E359-4887-9E33-2D2FC3517012}" name="patient_prescription" displayName="patient_prescription" ref="A1:L5" tableType="queryTable" totalsRowShown="0">
  <autoFilter ref="A1:L5" xr:uid="{35486E47-E359-4887-9E33-2D2FC3517012}"/>
  <tableColumns count="12">
    <tableColumn id="1" xr3:uid="{51E4EF6B-866F-406A-982A-A53A9B504595}" uniqueName="1" name="prescription_id" queryTableFieldId="1"/>
    <tableColumn id="2" xr3:uid="{1879D167-FC80-4029-A279-D0E984A9217E}" uniqueName="2" name="patient_id" queryTableFieldId="2"/>
    <tableColumn id="3" xr3:uid="{77CC0DB3-15BF-4AF9-A4B7-D8F9CBC55A0C}" uniqueName="3" name="consultation_id" queryTableFieldId="3"/>
    <tableColumn id="4" xr3:uid="{DD62FA41-BBF3-4A02-B194-728019E16671}" uniqueName="4" name="medication_name" queryTableFieldId="4" dataDxfId="42"/>
    <tableColumn id="5" xr3:uid="{AE5CEC1F-E98E-4C44-A30E-A0EECD7BB4EF}" uniqueName="5" name="dosage" queryTableFieldId="5" dataDxfId="41"/>
    <tableColumn id="6" xr3:uid="{59690ABF-9BD9-40F7-932C-83A76759AFF8}" uniqueName="6" name="frequency" queryTableFieldId="6" dataDxfId="40"/>
    <tableColumn id="7" xr3:uid="{EE08DFE7-D0D9-45B5-8354-85A80CE26F2A}" uniqueName="7" name="route" queryTableFieldId="7" dataDxfId="39"/>
    <tableColumn id="8" xr3:uid="{22269184-60D9-434D-9463-B038A4EC67CD}" uniqueName="8" name="duration" queryTableFieldId="8" dataDxfId="38"/>
    <tableColumn id="9" xr3:uid="{08EF1538-5D6D-42B9-92C5-C546A81602A1}" uniqueName="9" name="additional_notes" queryTableFieldId="9" dataDxfId="37"/>
    <tableColumn id="10" xr3:uid="{1C2B09D1-7104-493B-8E4D-AB2DAD8D3F4A}" uniqueName="10" name="prescribing_doctor_nameorid" queryTableFieldId="10" dataDxfId="36"/>
    <tableColumn id="11" xr3:uid="{8ADF7D87-1CF9-4E8B-97DE-22DA0FBC39A4}" uniqueName="11" name="prescription_datetime" queryTableFieldId="11" dataDxfId="35"/>
    <tableColumn id="12" xr3:uid="{61F37965-FD67-4418-8D4D-36469AAA759F}" uniqueName="12" name="created_at" queryTableFieldId="12" dataDxfId="3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E7105C-D438-4056-A76B-646AAFE7C8F1}" name="patient_diagnosis" displayName="patient_diagnosis" ref="A1:J5" tableType="queryTable" totalsRowShown="0">
  <autoFilter ref="A1:J5" xr:uid="{2EE7105C-D438-4056-A76B-646AAFE7C8F1}"/>
  <tableColumns count="10">
    <tableColumn id="1" xr3:uid="{F0F889D1-4455-4FB4-94AA-74495ED76D09}" uniqueName="1" name="consultation_id" queryTableFieldId="1"/>
    <tableColumn id="2" xr3:uid="{15EA1C04-97B1-4EC1-A292-E7F23BD86C17}" uniqueName="2" name="patient_id" queryTableFieldId="2"/>
    <tableColumn id="3" xr3:uid="{7F57E984-9306-44A8-8CE8-BD311A0D8C87}" uniqueName="3" name="diagnosis" queryTableFieldId="3" dataDxfId="33"/>
    <tableColumn id="4" xr3:uid="{43EFF2C0-DB88-4E67-9C75-810BD25DBFE3}" uniqueName="4" name="clinical_findings" queryTableFieldId="4" dataDxfId="32"/>
    <tableColumn id="5" xr3:uid="{0A24A32E-39FC-4841-B1F6-FA5C0FA51FE8}" uniqueName="5" name="notes" queryTableFieldId="5" dataDxfId="31"/>
    <tableColumn id="6" xr3:uid="{F5D6D70A-319A-45D6-BE00-7006A129BE7B}" uniqueName="6" name="treatment_plan" queryTableFieldId="6" dataDxfId="30"/>
    <tableColumn id="7" xr3:uid="{BC54649F-7D08-4827-B01C-ABC246937768}" uniqueName="7" name="recommended_test" queryTableFieldId="7" dataDxfId="29"/>
    <tableColumn id="8" xr3:uid="{FB24729C-1A3C-4853-9244-2C199D6D76C9}" uniqueName="8" name="diagnosis_dateandtime" queryTableFieldId="8" dataDxfId="28"/>
    <tableColumn id="9" xr3:uid="{3B912BD1-B931-4D4D-95F1-3D5687052717}" uniqueName="9" name="doctor_nameorid" queryTableFieldId="9" dataDxfId="27"/>
    <tableColumn id="10" xr3:uid="{2666F617-A170-4E48-9970-942C62FAF2F9}" uniqueName="10" name="created_at" queryTableFieldId="10" dataDxfId="2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A58DCC-C1DE-4E61-8C93-6435B654040B}" name="consultation_form" displayName="consultation_form" ref="A1:O6" tableType="queryTable" totalsRowShown="0">
  <autoFilter ref="A1:O6" xr:uid="{95A58DCC-C1DE-4E61-8C93-6435B654040B}"/>
  <tableColumns count="15">
    <tableColumn id="1" xr3:uid="{0A128913-E77B-4D29-82BA-35CEB754D3B6}" uniqueName="1" name="patient_id" queryTableFieldId="1"/>
    <tableColumn id="2" xr3:uid="{5AAE123B-9F76-4FAD-AEF7-ED82C6218639}" uniqueName="2" name="fname" queryTableFieldId="2" dataDxfId="25"/>
    <tableColumn id="3" xr3:uid="{285D44F0-4595-453B-9470-335560925EE6}" uniqueName="3" name="lname" queryTableFieldId="3" dataDxfId="24"/>
    <tableColumn id="4" xr3:uid="{E0C30530-30A0-44B0-9030-BED1AE19D171}" uniqueName="4" name="dob" queryTableFieldId="4" dataDxfId="23"/>
    <tableColumn id="5" xr3:uid="{BA9AA5C7-6F84-403D-80EE-ABBE2418418E}" uniqueName="5" name="age" queryTableFieldId="5"/>
    <tableColumn id="6" xr3:uid="{D7F97395-AD90-445B-8B82-776C7764A1BB}" uniqueName="6" name="gender" queryTableFieldId="6" dataDxfId="22"/>
    <tableColumn id="7" xr3:uid="{395DC8D4-67FD-4663-91F1-B513153B4509}" uniqueName="7" name="contact_no" queryTableFieldId="7" dataDxfId="21"/>
    <tableColumn id="8" xr3:uid="{611251DF-FB2E-41EA-B8BE-F85359028F43}" uniqueName="8" name="barangay" queryTableFieldId="8" dataDxfId="20"/>
    <tableColumn id="9" xr3:uid="{B8806F5E-B7E4-44B2-AC31-191B21AC33AF}" uniqueName="9" name="city" queryTableFieldId="9" dataDxfId="19"/>
    <tableColumn id="10" xr3:uid="{9924C08A-4993-440F-B068-40F77F73A6DB}" uniqueName="10" name="email_address" queryTableFieldId="10" dataDxfId="18"/>
    <tableColumn id="11" xr3:uid="{7437402C-1043-4F9B-A691-4BF4F9612F45}" uniqueName="11" name="chief_complaint" queryTableFieldId="11" dataDxfId="17"/>
    <tableColumn id="12" xr3:uid="{9B14F054-E19A-4E12-B524-7FD03EE20CD9}" uniqueName="12" name="description" queryTableFieldId="12" dataDxfId="16"/>
    <tableColumn id="13" xr3:uid="{C95F1C33-90F0-4F3E-9F29-B6CC299C5412}" uniqueName="13" name="date_started" queryTableFieldId="13" dataDxfId="15"/>
    <tableColumn id="14" xr3:uid="{97A83803-95C4-41B4-BE54-F9785D02B8AD}" uniqueName="14" name="severerity_level" queryTableFieldId="14" dataDxfId="14"/>
    <tableColumn id="15" xr3:uid="{021979CF-EC67-4D2F-A229-14EA3D0F601E}" uniqueName="15" name="associated_symptoms" queryTableFieldId="15" dataDxfId="1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C8CEE5-3D71-4229-AF97-3CA7AE730B3F}" name="assessments" displayName="assessments" ref="A1:K5" tableType="queryTable" totalsRowShown="0">
  <autoFilter ref="A1:K5" xr:uid="{26C8CEE5-3D71-4229-AF97-3CA7AE730B3F}"/>
  <tableColumns count="11">
    <tableColumn id="1" xr3:uid="{3D18F010-A03E-4AEA-827B-9B255888624D}" uniqueName="1" name="assessment_id" queryTableFieldId="1"/>
    <tableColumn id="2" xr3:uid="{D0D0A315-5F02-422C-9E9A-3A8B44A19F49}" uniqueName="2" name="patient_id" queryTableFieldId="2"/>
    <tableColumn id="3" xr3:uid="{504F3A76-D9C2-4959-B50F-FED4EF87D4E4}" uniqueName="3" name="patient_name" queryTableFieldId="3" dataDxfId="12"/>
    <tableColumn id="4" xr3:uid="{4FDF0B90-FB19-4EAD-8772-5051AB151032}" uniqueName="4" name="blood_pressure" queryTableFieldId="4" dataDxfId="11"/>
    <tableColumn id="5" xr3:uid="{2642C057-64B5-4F10-86D0-D405B6EA08D1}" uniqueName="5" name="body_temp" queryTableFieldId="5"/>
    <tableColumn id="6" xr3:uid="{72DE7ED4-F428-48A6-B3A0-88D11F8234B5}" uniqueName="6" name="pulse_rate" queryTableFieldId="6"/>
    <tableColumn id="7" xr3:uid="{32A2F13C-1239-4B94-AA3C-B85886286B9B}" uniqueName="7" name="respiratory_rate" queryTableFieldId="7"/>
    <tableColumn id="8" xr3:uid="{45653356-16D2-4DD4-8C3A-9A050105ED1C}" uniqueName="8" name="weight" queryTableFieldId="8"/>
    <tableColumn id="9" xr3:uid="{517A7CD5-26FF-4D7A-A8C6-2C036DDA7F7C}" uniqueName="9" name="height" queryTableFieldId="9"/>
    <tableColumn id="10" xr3:uid="{BDEA60BA-4924-4D3C-B7DA-347AD3574422}" uniqueName="10" name="assessment_datetime" queryTableFieldId="10" dataDxfId="10"/>
    <tableColumn id="11" xr3:uid="{B7480E85-EF34-410A-95D1-80062FE774CC}" uniqueName="11" name="created_at" queryTableFieldId="11" dataDxfId="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2A677E-60FF-4FD7-99F4-1F5EBC2C44AD}" name="appointments" displayName="appointments" ref="A1:N5" tableType="queryTable" totalsRowShown="0">
  <autoFilter ref="A1:N5" xr:uid="{332A677E-60FF-4FD7-99F4-1F5EBC2C44AD}"/>
  <tableColumns count="14">
    <tableColumn id="1" xr3:uid="{6AD60722-454F-40B3-A658-0BEEBCD0A9FB}" uniqueName="1" name="appointment_id" queryTableFieldId="1"/>
    <tableColumn id="2" xr3:uid="{0FAC8A4A-2E8C-43E7-A318-50B56357BDD5}" uniqueName="2" name="patient_id" queryTableFieldId="2"/>
    <tableColumn id="3" xr3:uid="{C8276398-1BD5-4BC3-82DE-B32BDBE297A7}" uniqueName="3" name="patient_name" queryTableFieldId="3" dataDxfId="8"/>
    <tableColumn id="4" xr3:uid="{E51501E1-F57D-4121-9D25-0DA381C0E104}" uniqueName="4" name="chief_complaint" queryTableFieldId="4" dataDxfId="7"/>
    <tableColumn id="5" xr3:uid="{F9CAB864-31A7-490A-8F3F-E355DE0E6617}" uniqueName="5" name="description" queryTableFieldId="5" dataDxfId="6"/>
    <tableColumn id="6" xr3:uid="{10745286-1339-4455-B254-B9A1B6AF623A}" uniqueName="6" name="email" queryTableFieldId="6" dataDxfId="5"/>
    <tableColumn id="7" xr3:uid="{13C6A3A0-EADD-4BC5-ACE0-CD79B5775254}" uniqueName="7" name="clinic_location" queryTableFieldId="7" dataDxfId="4"/>
    <tableColumn id="8" xr3:uid="{CF5FD38E-E47A-4F9A-A31C-E1E96736496D}" uniqueName="8" name="schedule_date" queryTableFieldId="8" dataDxfId="3"/>
    <tableColumn id="9" xr3:uid="{2A89C9D9-5647-4FFD-979D-3830ACF64F2B}" uniqueName="9" name="schedule_time" queryTableFieldId="9" dataDxfId="2"/>
    <tableColumn id="10" xr3:uid="{933940F0-B408-461A-BE6C-F0F9014BE7B5}" uniqueName="10" name="created_at" queryTableFieldId="10" dataDxfId="1"/>
    <tableColumn id="11" xr3:uid="{57439771-A4AE-4204-A562-08CB474D0C1F}" uniqueName="11" name="status" queryTableFieldId="11" dataDxfId="0"/>
    <tableColumn id="12" xr3:uid="{78391CA0-4AA1-4BBE-AE36-80C4EC3E546F}" uniqueName="12" name="assessment_completed" queryTableFieldId="12"/>
    <tableColumn id="13" xr3:uid="{46DCA076-B810-4FB4-BC92-013E3A2EB8E6}" uniqueName="13" name="diagnosis_completed" queryTableFieldId="13"/>
    <tableColumn id="14" xr3:uid="{CDCBB0F0-2EFD-4CE8-8B5B-0547E93D5FDF}" uniqueName="14" name="prescription_completed"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drawing" Target="../drawings/drawing1.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29F7-A0A1-4015-A49D-6D0951A2F8EC}">
  <dimension ref="A1:I25"/>
  <sheetViews>
    <sheetView workbookViewId="0">
      <selection activeCell="J11" sqref="J11"/>
    </sheetView>
  </sheetViews>
  <sheetFormatPr defaultRowHeight="15" x14ac:dyDescent="0.25"/>
  <cols>
    <col min="1" max="1" width="12.42578125" bestFit="1" customWidth="1"/>
    <col min="2" max="2" width="23.28515625" bestFit="1" customWidth="1"/>
    <col min="3" max="3" width="6.42578125" bestFit="1" customWidth="1"/>
    <col min="4" max="4" width="9.5703125" bestFit="1" customWidth="1"/>
    <col min="5" max="5" width="26.28515625" bestFit="1" customWidth="1"/>
    <col min="6" max="6" width="17.7109375" bestFit="1" customWidth="1"/>
    <col min="7" max="7" width="10.42578125" bestFit="1" customWidth="1"/>
    <col min="8" max="8" width="14.5703125" bestFit="1" customWidth="1"/>
    <col min="9" max="9" width="8.7109375" bestFit="1" customWidth="1"/>
  </cols>
  <sheetData>
    <row r="1" spans="1:9" x14ac:dyDescent="0.25">
      <c r="A1" t="s">
        <v>1</v>
      </c>
      <c r="B1" t="s">
        <v>2</v>
      </c>
      <c r="C1" t="s">
        <v>40</v>
      </c>
      <c r="D1" t="s">
        <v>41</v>
      </c>
      <c r="E1" t="s">
        <v>113</v>
      </c>
      <c r="F1" t="s">
        <v>3</v>
      </c>
      <c r="G1" t="s">
        <v>114</v>
      </c>
      <c r="H1" t="s">
        <v>46</v>
      </c>
      <c r="I1" t="s">
        <v>115</v>
      </c>
    </row>
    <row r="2" spans="1:9" x14ac:dyDescent="0.25">
      <c r="A2">
        <v>0</v>
      </c>
      <c r="B2" s="1" t="s">
        <v>14</v>
      </c>
      <c r="C2">
        <v>21</v>
      </c>
      <c r="D2" s="1" t="s">
        <v>51</v>
      </c>
      <c r="E2" s="1" t="s">
        <v>116</v>
      </c>
      <c r="F2" s="1" t="s">
        <v>15</v>
      </c>
      <c r="G2" s="1" t="s">
        <v>55</v>
      </c>
      <c r="H2" s="2">
        <v>46030</v>
      </c>
      <c r="I2" s="1" t="s">
        <v>117</v>
      </c>
    </row>
    <row r="3" spans="1:9" x14ac:dyDescent="0.25">
      <c r="A3">
        <v>2</v>
      </c>
      <c r="B3" s="1" t="s">
        <v>20</v>
      </c>
      <c r="C3">
        <v>10</v>
      </c>
      <c r="D3" s="1" t="s">
        <v>59</v>
      </c>
      <c r="E3" s="1" t="s">
        <v>118</v>
      </c>
      <c r="F3" s="1" t="s">
        <v>21</v>
      </c>
      <c r="G3" s="1" t="s">
        <v>62</v>
      </c>
      <c r="H3" s="2">
        <v>46030</v>
      </c>
      <c r="I3" s="1" t="s">
        <v>117</v>
      </c>
    </row>
    <row r="4" spans="1:9" x14ac:dyDescent="0.25">
      <c r="A4">
        <v>1</v>
      </c>
      <c r="B4" s="1" t="s">
        <v>14</v>
      </c>
      <c r="C4">
        <v>21</v>
      </c>
      <c r="D4" s="1" t="s">
        <v>51</v>
      </c>
      <c r="E4" s="1" t="s">
        <v>116</v>
      </c>
      <c r="F4" s="1" t="s">
        <v>15</v>
      </c>
      <c r="G4" s="1" t="s">
        <v>55</v>
      </c>
      <c r="H4" s="2">
        <v>46030</v>
      </c>
      <c r="I4" s="1" t="s">
        <v>117</v>
      </c>
    </row>
    <row r="5" spans="1:9" x14ac:dyDescent="0.25">
      <c r="A5">
        <v>3</v>
      </c>
      <c r="B5" s="1" t="s">
        <v>24</v>
      </c>
      <c r="C5">
        <v>25</v>
      </c>
      <c r="D5" s="1" t="s">
        <v>59</v>
      </c>
      <c r="E5" s="1" t="s">
        <v>119</v>
      </c>
      <c r="F5" s="1" t="s">
        <v>25</v>
      </c>
      <c r="G5" s="1" t="s">
        <v>55</v>
      </c>
      <c r="H5" s="2">
        <v>46031</v>
      </c>
      <c r="I5" s="1" t="s">
        <v>117</v>
      </c>
    </row>
    <row r="6" spans="1:9" x14ac:dyDescent="0.25">
      <c r="A6">
        <v>4</v>
      </c>
      <c r="B6" s="1" t="s">
        <v>120</v>
      </c>
      <c r="C6">
        <v>22</v>
      </c>
      <c r="D6" s="1" t="s">
        <v>70</v>
      </c>
      <c r="E6" s="1" t="s">
        <v>121</v>
      </c>
      <c r="F6" s="1" t="s">
        <v>72</v>
      </c>
      <c r="G6" s="1" t="s">
        <v>74</v>
      </c>
      <c r="H6" s="2">
        <v>46030</v>
      </c>
      <c r="I6" s="1" t="s">
        <v>117</v>
      </c>
    </row>
    <row r="7" spans="1:9" x14ac:dyDescent="0.25">
      <c r="A7">
        <v>5</v>
      </c>
      <c r="B7" s="1" t="s">
        <v>135</v>
      </c>
      <c r="C7">
        <v>26</v>
      </c>
      <c r="D7" s="1" t="s">
        <v>70</v>
      </c>
      <c r="E7" s="1" t="s">
        <v>136</v>
      </c>
      <c r="F7" s="1" t="s">
        <v>137</v>
      </c>
      <c r="G7" s="1" t="s">
        <v>62</v>
      </c>
      <c r="H7" s="2">
        <v>46030</v>
      </c>
      <c r="I7" s="1" t="s">
        <v>117</v>
      </c>
    </row>
    <row r="8" spans="1:9" x14ac:dyDescent="0.25">
      <c r="E8" s="5"/>
      <c r="F8" s="6"/>
      <c r="G8" s="7"/>
    </row>
    <row r="9" spans="1:9" x14ac:dyDescent="0.25">
      <c r="E9" s="8"/>
      <c r="F9" s="9"/>
      <c r="G9" s="10"/>
    </row>
    <row r="10" spans="1:9" x14ac:dyDescent="0.25">
      <c r="E10" s="8"/>
      <c r="F10" s="9"/>
      <c r="G10" s="10"/>
    </row>
    <row r="11" spans="1:9" x14ac:dyDescent="0.25">
      <c r="E11" s="8"/>
      <c r="F11" s="9"/>
      <c r="G11" s="10"/>
    </row>
    <row r="12" spans="1:9" x14ac:dyDescent="0.25">
      <c r="E12" s="8"/>
      <c r="F12" s="9"/>
      <c r="G12" s="10"/>
    </row>
    <row r="13" spans="1:9" x14ac:dyDescent="0.25">
      <c r="E13" s="8"/>
      <c r="F13" s="9"/>
      <c r="G13" s="10"/>
    </row>
    <row r="14" spans="1:9" x14ac:dyDescent="0.25">
      <c r="E14" s="8"/>
      <c r="F14" s="9"/>
      <c r="G14" s="10"/>
    </row>
    <row r="15" spans="1:9" x14ac:dyDescent="0.25">
      <c r="E15" s="8"/>
      <c r="F15" s="9"/>
      <c r="G15" s="10"/>
    </row>
    <row r="16" spans="1:9" x14ac:dyDescent="0.25">
      <c r="E16" s="8"/>
      <c r="F16" s="9"/>
      <c r="G16" s="10"/>
    </row>
    <row r="17" spans="5:7" x14ac:dyDescent="0.25">
      <c r="E17" s="8"/>
      <c r="F17" s="9"/>
      <c r="G17" s="10"/>
    </row>
    <row r="18" spans="5:7" x14ac:dyDescent="0.25">
      <c r="E18" s="8"/>
      <c r="F18" s="9"/>
      <c r="G18" s="10"/>
    </row>
    <row r="19" spans="5:7" x14ac:dyDescent="0.25">
      <c r="E19" s="8"/>
      <c r="F19" s="9"/>
      <c r="G19" s="10"/>
    </row>
    <row r="20" spans="5:7" x14ac:dyDescent="0.25">
      <c r="E20" s="8"/>
      <c r="F20" s="9"/>
      <c r="G20" s="10"/>
    </row>
    <row r="21" spans="5:7" x14ac:dyDescent="0.25">
      <c r="E21" s="8"/>
      <c r="F21" s="9"/>
      <c r="G21" s="10"/>
    </row>
    <row r="22" spans="5:7" x14ac:dyDescent="0.25">
      <c r="E22" s="8"/>
      <c r="F22" s="9"/>
      <c r="G22" s="10"/>
    </row>
    <row r="23" spans="5:7" x14ac:dyDescent="0.25">
      <c r="E23" s="8"/>
      <c r="F23" s="9"/>
      <c r="G23" s="10"/>
    </row>
    <row r="24" spans="5:7" x14ac:dyDescent="0.25">
      <c r="E24" s="8"/>
      <c r="F24" s="9"/>
      <c r="G24" s="10"/>
    </row>
    <row r="25" spans="5:7" x14ac:dyDescent="0.25">
      <c r="E25" s="11"/>
      <c r="F25" s="12"/>
      <c r="G25" s="13"/>
    </row>
  </sheetData>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B0F65-C1D2-44F0-BDC5-817BE4A6AAB0}">
  <dimension ref="A1:L5"/>
  <sheetViews>
    <sheetView workbookViewId="0">
      <selection activeCell="B3" sqref="B3"/>
    </sheetView>
  </sheetViews>
  <sheetFormatPr defaultRowHeight="15" x14ac:dyDescent="0.25"/>
  <cols>
    <col min="1" max="1" width="16.85546875" bestFit="1" customWidth="1"/>
    <col min="2" max="2" width="12.42578125" bestFit="1" customWidth="1"/>
    <col min="3" max="3" width="17.140625" bestFit="1" customWidth="1"/>
    <col min="4" max="4" width="19.5703125" bestFit="1" customWidth="1"/>
    <col min="5" max="5" width="9.5703125" bestFit="1" customWidth="1"/>
    <col min="6" max="6" width="12.28515625" bestFit="1" customWidth="1"/>
    <col min="7" max="7" width="8.85546875" bestFit="1" customWidth="1"/>
    <col min="8" max="8" width="10.85546875" bestFit="1" customWidth="1"/>
    <col min="9" max="9" width="18.42578125" bestFit="1" customWidth="1"/>
    <col min="10" max="10" width="30" bestFit="1" customWidth="1"/>
    <col min="11" max="11" width="23.42578125" bestFit="1" customWidth="1"/>
    <col min="12" max="12" width="13.85546875" bestFit="1" customWidth="1"/>
  </cols>
  <sheetData>
    <row r="1" spans="1:12" x14ac:dyDescent="0.25">
      <c r="A1" t="s">
        <v>95</v>
      </c>
      <c r="B1" t="s">
        <v>1</v>
      </c>
      <c r="C1" t="s">
        <v>76</v>
      </c>
      <c r="D1" t="s">
        <v>96</v>
      </c>
      <c r="E1" t="s">
        <v>97</v>
      </c>
      <c r="F1" t="s">
        <v>98</v>
      </c>
      <c r="G1" t="s">
        <v>99</v>
      </c>
      <c r="H1" t="s">
        <v>100</v>
      </c>
      <c r="I1" t="s">
        <v>101</v>
      </c>
      <c r="J1" t="s">
        <v>102</v>
      </c>
      <c r="K1" t="s">
        <v>103</v>
      </c>
      <c r="L1" t="s">
        <v>9</v>
      </c>
    </row>
    <row r="2" spans="1:12" x14ac:dyDescent="0.25">
      <c r="A2">
        <v>1</v>
      </c>
      <c r="B2">
        <v>0</v>
      </c>
      <c r="C2">
        <v>1</v>
      </c>
      <c r="D2" s="1" t="s">
        <v>104</v>
      </c>
      <c r="E2" s="1" t="s">
        <v>105</v>
      </c>
      <c r="F2" s="1" t="s">
        <v>106</v>
      </c>
      <c r="G2" s="1" t="s">
        <v>107</v>
      </c>
      <c r="H2" s="1" t="s">
        <v>108</v>
      </c>
      <c r="I2" s="1" t="s">
        <v>88</v>
      </c>
      <c r="J2" s="1" t="s">
        <v>88</v>
      </c>
      <c r="K2" s="4">
        <v>46031.61041666667</v>
      </c>
      <c r="L2" s="4">
        <v>46031.611180555556</v>
      </c>
    </row>
    <row r="3" spans="1:12" x14ac:dyDescent="0.25">
      <c r="A3">
        <v>2</v>
      </c>
      <c r="B3">
        <v>2</v>
      </c>
      <c r="C3">
        <v>2</v>
      </c>
      <c r="D3" s="1" t="s">
        <v>109</v>
      </c>
      <c r="E3" s="1" t="s">
        <v>105</v>
      </c>
      <c r="F3" s="1" t="s">
        <v>106</v>
      </c>
      <c r="G3" s="1" t="s">
        <v>110</v>
      </c>
      <c r="H3" s="1" t="s">
        <v>108</v>
      </c>
      <c r="I3" s="1" t="s">
        <v>90</v>
      </c>
      <c r="J3" s="1" t="s">
        <v>88</v>
      </c>
      <c r="K3" s="4">
        <v>46031.621527777781</v>
      </c>
      <c r="L3" s="4">
        <v>46031.622025462966</v>
      </c>
    </row>
    <row r="4" spans="1:12" x14ac:dyDescent="0.25">
      <c r="A4">
        <v>3</v>
      </c>
      <c r="B4">
        <v>3</v>
      </c>
      <c r="C4">
        <v>3</v>
      </c>
      <c r="D4" s="1" t="s">
        <v>111</v>
      </c>
      <c r="E4" s="1" t="s">
        <v>105</v>
      </c>
      <c r="F4" s="1" t="s">
        <v>106</v>
      </c>
      <c r="G4" s="1" t="s">
        <v>110</v>
      </c>
      <c r="H4" s="1" t="s">
        <v>108</v>
      </c>
      <c r="I4" s="1" t="s">
        <v>112</v>
      </c>
      <c r="J4" s="1" t="s">
        <v>88</v>
      </c>
      <c r="K4" s="4">
        <v>46031.651388888888</v>
      </c>
      <c r="L4" s="4">
        <v>46031.651886574073</v>
      </c>
    </row>
    <row r="5" spans="1:12" x14ac:dyDescent="0.25">
      <c r="A5">
        <v>4</v>
      </c>
      <c r="B5">
        <v>5</v>
      </c>
      <c r="C5">
        <v>4</v>
      </c>
      <c r="D5" s="1" t="s">
        <v>138</v>
      </c>
      <c r="E5" s="1" t="s">
        <v>105</v>
      </c>
      <c r="F5" s="1" t="s">
        <v>106</v>
      </c>
      <c r="G5" s="1" t="s">
        <v>110</v>
      </c>
      <c r="H5" s="1" t="s">
        <v>108</v>
      </c>
      <c r="I5" s="1" t="s">
        <v>139</v>
      </c>
      <c r="J5" s="1" t="s">
        <v>89</v>
      </c>
      <c r="K5" s="4">
        <v>46031.748611111114</v>
      </c>
      <c r="L5" s="4">
        <v>46031.748819444445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08703-E202-4576-9061-5289FA66AD26}">
  <dimension ref="A1:J5"/>
  <sheetViews>
    <sheetView workbookViewId="0">
      <selection activeCell="E26" sqref="E26"/>
    </sheetView>
  </sheetViews>
  <sheetFormatPr defaultRowHeight="15" x14ac:dyDescent="0.25"/>
  <cols>
    <col min="1" max="1" width="17.140625" bestFit="1" customWidth="1"/>
    <col min="2" max="2" width="12.42578125" bestFit="1" customWidth="1"/>
    <col min="3" max="3" width="12.5703125" bestFit="1" customWidth="1"/>
    <col min="4" max="4" width="17.7109375" bestFit="1" customWidth="1"/>
    <col min="5" max="5" width="11.7109375" bestFit="1" customWidth="1"/>
    <col min="6" max="6" width="17.28515625" bestFit="1" customWidth="1"/>
    <col min="7" max="7" width="21" bestFit="1" customWidth="1"/>
    <col min="8" max="8" width="24.42578125" bestFit="1" customWidth="1"/>
    <col min="9" max="9" width="18.7109375" bestFit="1" customWidth="1"/>
    <col min="10" max="10" width="13.85546875" bestFit="1" customWidth="1"/>
  </cols>
  <sheetData>
    <row r="1" spans="1:10" x14ac:dyDescent="0.25">
      <c r="A1" t="s">
        <v>76</v>
      </c>
      <c r="B1" t="s">
        <v>1</v>
      </c>
      <c r="C1" t="s">
        <v>77</v>
      </c>
      <c r="D1" t="s">
        <v>78</v>
      </c>
      <c r="E1" t="s">
        <v>79</v>
      </c>
      <c r="F1" t="s">
        <v>80</v>
      </c>
      <c r="G1" t="s">
        <v>81</v>
      </c>
      <c r="H1" t="s">
        <v>82</v>
      </c>
      <c r="I1" t="s">
        <v>83</v>
      </c>
      <c r="J1" t="s">
        <v>9</v>
      </c>
    </row>
    <row r="2" spans="1:10" x14ac:dyDescent="0.25">
      <c r="A2">
        <v>1</v>
      </c>
      <c r="B2">
        <v>0</v>
      </c>
      <c r="C2" s="1" t="s">
        <v>84</v>
      </c>
      <c r="D2" s="1" t="s">
        <v>85</v>
      </c>
      <c r="E2" s="1" t="s">
        <v>86</v>
      </c>
      <c r="F2" s="1" t="s">
        <v>87</v>
      </c>
      <c r="G2" s="1" t="s">
        <v>88</v>
      </c>
      <c r="H2" s="4">
        <v>46031.61041666667</v>
      </c>
      <c r="I2" s="1" t="s">
        <v>89</v>
      </c>
      <c r="J2" s="4">
        <v>46031.610810185186</v>
      </c>
    </row>
    <row r="3" spans="1:10" x14ac:dyDescent="0.25">
      <c r="A3">
        <v>2</v>
      </c>
      <c r="B3">
        <v>2</v>
      </c>
      <c r="C3" s="1" t="s">
        <v>90</v>
      </c>
      <c r="D3" s="1" t="s">
        <v>90</v>
      </c>
      <c r="E3" s="1" t="s">
        <v>90</v>
      </c>
      <c r="F3" s="1" t="s">
        <v>90</v>
      </c>
      <c r="G3" s="1" t="s">
        <v>91</v>
      </c>
      <c r="H3" s="4">
        <v>46031.621527777781</v>
      </c>
      <c r="I3" s="1" t="s">
        <v>92</v>
      </c>
      <c r="J3" s="4">
        <v>46031.621840277781</v>
      </c>
    </row>
    <row r="4" spans="1:10" x14ac:dyDescent="0.25">
      <c r="A4">
        <v>3</v>
      </c>
      <c r="B4">
        <v>3</v>
      </c>
      <c r="C4" s="1" t="s">
        <v>90</v>
      </c>
      <c r="D4" s="1" t="s">
        <v>22</v>
      </c>
      <c r="E4" s="1" t="s">
        <v>93</v>
      </c>
      <c r="F4" s="1" t="s">
        <v>22</v>
      </c>
      <c r="G4" s="1" t="s">
        <v>94</v>
      </c>
      <c r="H4" s="4">
        <v>46031.651388888888</v>
      </c>
      <c r="I4" s="1" t="s">
        <v>94</v>
      </c>
      <c r="J4" s="4">
        <v>46031.651736111111</v>
      </c>
    </row>
    <row r="5" spans="1:10" x14ac:dyDescent="0.25">
      <c r="A5">
        <v>4</v>
      </c>
      <c r="B5">
        <v>5</v>
      </c>
      <c r="C5" s="1" t="s">
        <v>140</v>
      </c>
      <c r="D5" s="1" t="s">
        <v>141</v>
      </c>
      <c r="E5" s="1" t="s">
        <v>142</v>
      </c>
      <c r="F5" s="1" t="s">
        <v>143</v>
      </c>
      <c r="G5" s="1" t="s">
        <v>22</v>
      </c>
      <c r="H5" s="4">
        <v>46031.747916666667</v>
      </c>
      <c r="I5" s="1" t="s">
        <v>89</v>
      </c>
      <c r="J5" s="4">
        <v>46031.748495370368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3C3BB-7A74-4265-A257-7B0930821812}">
  <dimension ref="A3:T110"/>
  <sheetViews>
    <sheetView topLeftCell="A79" workbookViewId="0">
      <selection activeCell="J101" sqref="J101"/>
    </sheetView>
  </sheetViews>
  <sheetFormatPr defaultRowHeight="15" x14ac:dyDescent="0.25"/>
  <cols>
    <col min="1" max="1" width="13.140625" bestFit="1" customWidth="1"/>
    <col min="2" max="2" width="17.28515625" bestFit="1" customWidth="1"/>
    <col min="3" max="3" width="23.7109375" bestFit="1" customWidth="1"/>
    <col min="4" max="4" width="25.5703125" bestFit="1" customWidth="1"/>
    <col min="5" max="5" width="13.140625" bestFit="1" customWidth="1"/>
    <col min="6" max="6" width="7.140625" bestFit="1" customWidth="1"/>
    <col min="7" max="7" width="13.140625" bestFit="1" customWidth="1"/>
    <col min="8" max="8" width="14" bestFit="1" customWidth="1"/>
    <col min="10" max="10" width="13.140625" bestFit="1" customWidth="1"/>
    <col min="11" max="11" width="16.85546875" bestFit="1" customWidth="1"/>
    <col min="20" max="20" width="21.85546875" bestFit="1" customWidth="1"/>
  </cols>
  <sheetData>
    <row r="3" spans="1:2" x14ac:dyDescent="0.25">
      <c r="A3" s="14" t="s">
        <v>122</v>
      </c>
      <c r="B3" t="s">
        <v>124</v>
      </c>
    </row>
    <row r="4" spans="1:2" x14ac:dyDescent="0.25">
      <c r="A4" s="15" t="s">
        <v>66</v>
      </c>
      <c r="B4" s="1">
        <v>1</v>
      </c>
    </row>
    <row r="5" spans="1:2" x14ac:dyDescent="0.25">
      <c r="A5" s="15" t="s">
        <v>61</v>
      </c>
      <c r="B5" s="1">
        <v>1</v>
      </c>
    </row>
    <row r="6" spans="1:2" x14ac:dyDescent="0.25">
      <c r="A6" s="15" t="s">
        <v>71</v>
      </c>
      <c r="B6" s="1">
        <v>1</v>
      </c>
    </row>
    <row r="7" spans="1:2" x14ac:dyDescent="0.25">
      <c r="A7" s="15" t="s">
        <v>53</v>
      </c>
      <c r="B7" s="1">
        <v>1</v>
      </c>
    </row>
    <row r="8" spans="1:2" x14ac:dyDescent="0.25">
      <c r="A8" s="15" t="s">
        <v>146</v>
      </c>
      <c r="B8" s="1">
        <v>1</v>
      </c>
    </row>
    <row r="9" spans="1:2" x14ac:dyDescent="0.25">
      <c r="A9" s="15" t="s">
        <v>123</v>
      </c>
      <c r="B9" s="1">
        <v>5</v>
      </c>
    </row>
    <row r="28" spans="1:2" x14ac:dyDescent="0.25">
      <c r="A28" s="14" t="s">
        <v>122</v>
      </c>
      <c r="B28" t="s">
        <v>125</v>
      </c>
    </row>
    <row r="29" spans="1:2" x14ac:dyDescent="0.25">
      <c r="A29" s="15" t="s">
        <v>70</v>
      </c>
      <c r="B29" s="1">
        <v>2</v>
      </c>
    </row>
    <row r="30" spans="1:2" x14ac:dyDescent="0.25">
      <c r="A30" s="15" t="s">
        <v>59</v>
      </c>
      <c r="B30" s="1">
        <v>2</v>
      </c>
    </row>
    <row r="31" spans="1:2" x14ac:dyDescent="0.25">
      <c r="A31" s="15" t="s">
        <v>51</v>
      </c>
      <c r="B31" s="1">
        <v>1</v>
      </c>
    </row>
    <row r="32" spans="1:2" x14ac:dyDescent="0.25">
      <c r="A32" s="15" t="s">
        <v>123</v>
      </c>
      <c r="B32" s="1">
        <v>5</v>
      </c>
    </row>
    <row r="47" spans="2:3" x14ac:dyDescent="0.25">
      <c r="B47" s="14" t="s">
        <v>122</v>
      </c>
      <c r="C47" t="s">
        <v>126</v>
      </c>
    </row>
    <row r="48" spans="2:3" x14ac:dyDescent="0.25">
      <c r="B48" s="15" t="s">
        <v>15</v>
      </c>
      <c r="C48" s="1">
        <v>1</v>
      </c>
    </row>
    <row r="49" spans="2:3" x14ac:dyDescent="0.25">
      <c r="B49" s="15" t="s">
        <v>21</v>
      </c>
      <c r="C49" s="1">
        <v>1</v>
      </c>
    </row>
    <row r="50" spans="2:3" x14ac:dyDescent="0.25">
      <c r="B50" s="15" t="s">
        <v>72</v>
      </c>
      <c r="C50" s="1">
        <v>1</v>
      </c>
    </row>
    <row r="51" spans="2:3" x14ac:dyDescent="0.25">
      <c r="B51" s="15" t="s">
        <v>25</v>
      </c>
      <c r="C51" s="1">
        <v>1</v>
      </c>
    </row>
    <row r="52" spans="2:3" x14ac:dyDescent="0.25">
      <c r="B52" s="15" t="s">
        <v>137</v>
      </c>
      <c r="C52" s="1">
        <v>1</v>
      </c>
    </row>
    <row r="53" spans="2:3" x14ac:dyDescent="0.25">
      <c r="B53" s="15" t="s">
        <v>123</v>
      </c>
      <c r="C53" s="1">
        <v>5</v>
      </c>
    </row>
    <row r="62" spans="2:3" x14ac:dyDescent="0.25">
      <c r="B62" s="14" t="s">
        <v>122</v>
      </c>
      <c r="C62" t="s">
        <v>128</v>
      </c>
    </row>
    <row r="63" spans="2:3" x14ac:dyDescent="0.25">
      <c r="B63" s="15" t="s">
        <v>62</v>
      </c>
      <c r="C63" s="1">
        <v>2</v>
      </c>
    </row>
    <row r="64" spans="2:3" x14ac:dyDescent="0.25">
      <c r="B64" s="15" t="s">
        <v>74</v>
      </c>
      <c r="C64" s="1">
        <v>1</v>
      </c>
    </row>
    <row r="65" spans="2:12" x14ac:dyDescent="0.25">
      <c r="B65" s="15" t="s">
        <v>55</v>
      </c>
      <c r="C65" s="1">
        <v>2</v>
      </c>
    </row>
    <row r="66" spans="2:12" x14ac:dyDescent="0.25">
      <c r="B66" s="15" t="s">
        <v>123</v>
      </c>
      <c r="C66" s="1">
        <v>5</v>
      </c>
    </row>
    <row r="70" spans="2:12" x14ac:dyDescent="0.25">
      <c r="C70" s="14" t="s">
        <v>122</v>
      </c>
      <c r="D70" t="s">
        <v>129</v>
      </c>
    </row>
    <row r="71" spans="2:12" x14ac:dyDescent="0.25">
      <c r="C71" s="15" t="s">
        <v>109</v>
      </c>
      <c r="D71" s="1">
        <v>1</v>
      </c>
      <c r="J71" s="5"/>
      <c r="K71" s="6"/>
      <c r="L71" s="7"/>
    </row>
    <row r="72" spans="2:12" x14ac:dyDescent="0.25">
      <c r="C72" s="15" t="s">
        <v>111</v>
      </c>
      <c r="D72" s="1">
        <v>1</v>
      </c>
      <c r="J72" s="8"/>
      <c r="K72" s="9"/>
      <c r="L72" s="10"/>
    </row>
    <row r="73" spans="2:12" x14ac:dyDescent="0.25">
      <c r="C73" s="15" t="s">
        <v>104</v>
      </c>
      <c r="D73" s="1">
        <v>1</v>
      </c>
      <c r="G73" s="14" t="s">
        <v>122</v>
      </c>
      <c r="H73" t="s">
        <v>130</v>
      </c>
      <c r="J73" s="8"/>
      <c r="K73" s="9"/>
      <c r="L73" s="10"/>
    </row>
    <row r="74" spans="2:12" x14ac:dyDescent="0.25">
      <c r="C74" s="15" t="s">
        <v>138</v>
      </c>
      <c r="D74" s="1">
        <v>1</v>
      </c>
      <c r="G74" s="15" t="s">
        <v>107</v>
      </c>
      <c r="H74" s="1">
        <v>1</v>
      </c>
      <c r="J74" s="8"/>
      <c r="K74" s="9"/>
      <c r="L74" s="10"/>
    </row>
    <row r="75" spans="2:12" x14ac:dyDescent="0.25">
      <c r="C75" s="15" t="s">
        <v>123</v>
      </c>
      <c r="D75" s="1">
        <v>4</v>
      </c>
      <c r="G75" s="15" t="s">
        <v>110</v>
      </c>
      <c r="H75" s="1">
        <v>3</v>
      </c>
      <c r="J75" s="8"/>
      <c r="K75" s="9"/>
      <c r="L75" s="10"/>
    </row>
    <row r="76" spans="2:12" x14ac:dyDescent="0.25">
      <c r="G76" s="15" t="s">
        <v>123</v>
      </c>
      <c r="H76" s="1">
        <v>4</v>
      </c>
      <c r="J76" s="8"/>
      <c r="K76" s="9"/>
      <c r="L76" s="10"/>
    </row>
    <row r="77" spans="2:12" x14ac:dyDescent="0.25">
      <c r="D77" s="14" t="s">
        <v>122</v>
      </c>
      <c r="E77" t="s">
        <v>127</v>
      </c>
      <c r="J77" s="8"/>
      <c r="K77" s="9"/>
      <c r="L77" s="10"/>
    </row>
    <row r="78" spans="2:12" x14ac:dyDescent="0.25">
      <c r="D78" s="15" t="s">
        <v>62</v>
      </c>
      <c r="E78" s="1">
        <v>7</v>
      </c>
      <c r="J78" s="8"/>
      <c r="K78" s="9"/>
      <c r="L78" s="10"/>
    </row>
    <row r="79" spans="2:12" x14ac:dyDescent="0.25">
      <c r="D79" s="15" t="s">
        <v>74</v>
      </c>
      <c r="E79" s="1">
        <v>4</v>
      </c>
      <c r="J79" s="8"/>
      <c r="K79" s="9"/>
      <c r="L79" s="10"/>
    </row>
    <row r="80" spans="2:12" x14ac:dyDescent="0.25">
      <c r="D80" s="15" t="s">
        <v>55</v>
      </c>
      <c r="E80" s="1">
        <v>4</v>
      </c>
      <c r="J80" s="8"/>
      <c r="K80" s="9"/>
      <c r="L80" s="10"/>
    </row>
    <row r="81" spans="4:20" x14ac:dyDescent="0.25">
      <c r="D81" s="15" t="s">
        <v>123</v>
      </c>
      <c r="E81" s="1">
        <v>15</v>
      </c>
      <c r="J81" s="8"/>
      <c r="K81" s="9"/>
      <c r="L81" s="10"/>
      <c r="T81" t="s">
        <v>132</v>
      </c>
    </row>
    <row r="82" spans="4:20" x14ac:dyDescent="0.25">
      <c r="J82" s="8"/>
      <c r="K82" s="9"/>
      <c r="L82" s="10"/>
      <c r="T82" s="1">
        <v>4</v>
      </c>
    </row>
    <row r="83" spans="4:20" x14ac:dyDescent="0.25">
      <c r="J83" s="8"/>
      <c r="K83" s="9"/>
      <c r="L83" s="10"/>
    </row>
    <row r="84" spans="4:20" x14ac:dyDescent="0.25">
      <c r="J84" s="8"/>
      <c r="K84" s="9"/>
      <c r="L84" s="10"/>
    </row>
    <row r="85" spans="4:20" x14ac:dyDescent="0.25">
      <c r="J85" s="8"/>
      <c r="K85" s="9"/>
      <c r="L85" s="10"/>
    </row>
    <row r="86" spans="4:20" x14ac:dyDescent="0.25">
      <c r="J86" s="8"/>
      <c r="K86" s="9"/>
      <c r="L86" s="10"/>
    </row>
    <row r="87" spans="4:20" x14ac:dyDescent="0.25">
      <c r="J87" s="8"/>
      <c r="K87" s="9"/>
      <c r="L87" s="10"/>
    </row>
    <row r="88" spans="4:20" x14ac:dyDescent="0.25">
      <c r="J88" s="11"/>
      <c r="K88" s="12"/>
      <c r="L88" s="13"/>
    </row>
    <row r="108" spans="1:5" x14ac:dyDescent="0.25">
      <c r="A108" t="s">
        <v>133</v>
      </c>
      <c r="C108" t="s">
        <v>134</v>
      </c>
      <c r="E108" s="14" t="s">
        <v>122</v>
      </c>
    </row>
    <row r="109" spans="1:5" x14ac:dyDescent="0.25">
      <c r="A109" s="1">
        <v>5</v>
      </c>
      <c r="C109" s="1">
        <v>4</v>
      </c>
      <c r="E109" s="15" t="s">
        <v>18</v>
      </c>
    </row>
    <row r="110" spans="1:5" x14ac:dyDescent="0.25">
      <c r="E110" s="15" t="s">
        <v>123</v>
      </c>
    </row>
  </sheetData>
  <pageMargins left="0.7" right="0.7" top="0.75" bottom="0.75" header="0.3" footer="0.3"/>
  <drawing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051D9-0B32-4E82-8A5B-15AA4B6F57D8}">
  <dimension ref="A1:O6"/>
  <sheetViews>
    <sheetView workbookViewId="0">
      <selection activeCell="B3" sqref="B3"/>
    </sheetView>
  </sheetViews>
  <sheetFormatPr defaultRowHeight="15" x14ac:dyDescent="0.25"/>
  <cols>
    <col min="1" max="1" width="12.42578125" bestFit="1" customWidth="1"/>
    <col min="2" max="2" width="9" bestFit="1" customWidth="1"/>
    <col min="3" max="3" width="16.5703125" bestFit="1" customWidth="1"/>
    <col min="4" max="4" width="9.7109375" bestFit="1" customWidth="1"/>
    <col min="5" max="5" width="6.42578125" bestFit="1" customWidth="1"/>
    <col min="6" max="6" width="9.5703125" bestFit="1" customWidth="1"/>
    <col min="7" max="7" width="13" bestFit="1" customWidth="1"/>
    <col min="8" max="8" width="11.28515625" bestFit="1" customWidth="1"/>
    <col min="9" max="9" width="14.85546875" bestFit="1" customWidth="1"/>
    <col min="10" max="10" width="25.140625" bestFit="1" customWidth="1"/>
    <col min="11" max="11" width="17.7109375" bestFit="1" customWidth="1"/>
    <col min="12" max="12" width="14.42578125" bestFit="1" customWidth="1"/>
    <col min="13" max="13" width="14.5703125" bestFit="1" customWidth="1"/>
    <col min="14" max="14" width="17.85546875" bestFit="1" customWidth="1"/>
    <col min="15" max="15" width="26.28515625" bestFit="1" customWidth="1"/>
  </cols>
  <sheetData>
    <row r="1" spans="1:15" x14ac:dyDescent="0.25">
      <c r="A1" t="s">
        <v>1</v>
      </c>
      <c r="B1" t="s">
        <v>37</v>
      </c>
      <c r="C1" t="s">
        <v>38</v>
      </c>
      <c r="D1" t="s">
        <v>39</v>
      </c>
      <c r="E1" t="s">
        <v>40</v>
      </c>
      <c r="F1" t="s">
        <v>41</v>
      </c>
      <c r="G1" t="s">
        <v>42</v>
      </c>
      <c r="H1" t="s">
        <v>43</v>
      </c>
      <c r="I1" t="s">
        <v>44</v>
      </c>
      <c r="J1" t="s">
        <v>45</v>
      </c>
      <c r="K1" t="s">
        <v>3</v>
      </c>
      <c r="L1" t="s">
        <v>4</v>
      </c>
      <c r="M1" t="s">
        <v>46</v>
      </c>
      <c r="N1" t="s">
        <v>47</v>
      </c>
      <c r="O1" t="s">
        <v>48</v>
      </c>
    </row>
    <row r="2" spans="1:15" x14ac:dyDescent="0.25">
      <c r="A2">
        <v>1</v>
      </c>
      <c r="B2" s="1" t="s">
        <v>49</v>
      </c>
      <c r="C2" s="1" t="s">
        <v>50</v>
      </c>
      <c r="D2" s="2">
        <v>38114</v>
      </c>
      <c r="E2">
        <v>21</v>
      </c>
      <c r="F2" s="1" t="s">
        <v>51</v>
      </c>
      <c r="G2" s="1" t="s">
        <v>52</v>
      </c>
      <c r="H2" s="1" t="s">
        <v>53</v>
      </c>
      <c r="I2" s="1" t="s">
        <v>54</v>
      </c>
      <c r="J2" s="1" t="s">
        <v>17</v>
      </c>
      <c r="K2" s="1" t="s">
        <v>15</v>
      </c>
      <c r="L2" s="1" t="s">
        <v>16</v>
      </c>
      <c r="M2" s="2">
        <v>46030</v>
      </c>
      <c r="N2" s="1" t="s">
        <v>55</v>
      </c>
      <c r="O2" s="1" t="s">
        <v>56</v>
      </c>
    </row>
    <row r="3" spans="1:15" x14ac:dyDescent="0.25">
      <c r="A3">
        <v>2</v>
      </c>
      <c r="B3" s="1" t="s">
        <v>57</v>
      </c>
      <c r="C3" s="1" t="s">
        <v>58</v>
      </c>
      <c r="D3" s="2">
        <v>42264</v>
      </c>
      <c r="E3">
        <v>10</v>
      </c>
      <c r="F3" s="1" t="s">
        <v>59</v>
      </c>
      <c r="G3" s="1" t="s">
        <v>60</v>
      </c>
      <c r="H3" s="1" t="s">
        <v>61</v>
      </c>
      <c r="I3" s="1" t="s">
        <v>54</v>
      </c>
      <c r="J3" s="1" t="s">
        <v>23</v>
      </c>
      <c r="K3" s="1" t="s">
        <v>21</v>
      </c>
      <c r="L3" s="1" t="s">
        <v>22</v>
      </c>
      <c r="M3" s="2">
        <v>46030</v>
      </c>
      <c r="N3" s="1" t="s">
        <v>62</v>
      </c>
      <c r="O3" s="1" t="s">
        <v>63</v>
      </c>
    </row>
    <row r="4" spans="1:15" x14ac:dyDescent="0.25">
      <c r="A4">
        <v>3</v>
      </c>
      <c r="B4" s="1" t="s">
        <v>64</v>
      </c>
      <c r="C4" s="1" t="s">
        <v>65</v>
      </c>
      <c r="D4" s="2">
        <v>36653</v>
      </c>
      <c r="E4">
        <v>25</v>
      </c>
      <c r="F4" s="1" t="s">
        <v>59</v>
      </c>
      <c r="G4" s="1" t="s">
        <v>60</v>
      </c>
      <c r="H4" s="1" t="s">
        <v>66</v>
      </c>
      <c r="I4" s="1" t="s">
        <v>54</v>
      </c>
      <c r="J4" s="1" t="s">
        <v>27</v>
      </c>
      <c r="K4" s="1" t="s">
        <v>25</v>
      </c>
      <c r="L4" s="1" t="s">
        <v>26</v>
      </c>
      <c r="M4" s="2">
        <v>46031</v>
      </c>
      <c r="N4" s="1" t="s">
        <v>55</v>
      </c>
      <c r="O4" s="1" t="s">
        <v>67</v>
      </c>
    </row>
    <row r="5" spans="1:15" x14ac:dyDescent="0.25">
      <c r="A5">
        <v>4</v>
      </c>
      <c r="B5" s="1" t="s">
        <v>68</v>
      </c>
      <c r="C5" s="1" t="s">
        <v>69</v>
      </c>
      <c r="D5" s="2">
        <v>37790</v>
      </c>
      <c r="E5">
        <v>22</v>
      </c>
      <c r="F5" s="1" t="s">
        <v>70</v>
      </c>
      <c r="G5" s="1" t="s">
        <v>60</v>
      </c>
      <c r="H5" s="1" t="s">
        <v>71</v>
      </c>
      <c r="I5" s="1" t="s">
        <v>54</v>
      </c>
      <c r="J5" s="1" t="s">
        <v>27</v>
      </c>
      <c r="K5" s="1" t="s">
        <v>72</v>
      </c>
      <c r="L5" s="1" t="s">
        <v>73</v>
      </c>
      <c r="M5" s="2">
        <v>46030</v>
      </c>
      <c r="N5" s="1" t="s">
        <v>74</v>
      </c>
      <c r="O5" s="1" t="s">
        <v>75</v>
      </c>
    </row>
    <row r="6" spans="1:15" x14ac:dyDescent="0.25">
      <c r="A6">
        <v>5</v>
      </c>
      <c r="B6" s="1" t="s">
        <v>144</v>
      </c>
      <c r="C6" s="1" t="s">
        <v>145</v>
      </c>
      <c r="D6" s="2">
        <v>36260</v>
      </c>
      <c r="E6">
        <v>26</v>
      </c>
      <c r="F6" s="1" t="s">
        <v>70</v>
      </c>
      <c r="G6" s="1" t="s">
        <v>60</v>
      </c>
      <c r="H6" s="1" t="s">
        <v>146</v>
      </c>
      <c r="I6" s="1" t="s">
        <v>54</v>
      </c>
      <c r="J6" s="1" t="s">
        <v>147</v>
      </c>
      <c r="K6" s="1" t="s">
        <v>137</v>
      </c>
      <c r="L6" s="1" t="s">
        <v>148</v>
      </c>
      <c r="M6" s="2">
        <v>46030</v>
      </c>
      <c r="N6" s="1" t="s">
        <v>62</v>
      </c>
      <c r="O6" s="1" t="s">
        <v>149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DBEF3-9185-4928-8921-D4FF0B9A519A}">
  <dimension ref="A1:K5"/>
  <sheetViews>
    <sheetView workbookViewId="0">
      <selection activeCell="B42" sqref="B42"/>
    </sheetView>
  </sheetViews>
  <sheetFormatPr defaultRowHeight="15" x14ac:dyDescent="0.25"/>
  <cols>
    <col min="1" max="1" width="16.42578125" bestFit="1" customWidth="1"/>
    <col min="2" max="2" width="12.42578125" bestFit="1" customWidth="1"/>
    <col min="3" max="3" width="15.85546875" bestFit="1" customWidth="1"/>
    <col min="4" max="4" width="17.28515625" bestFit="1" customWidth="1"/>
    <col min="5" max="5" width="13.42578125" bestFit="1" customWidth="1"/>
    <col min="6" max="6" width="12.7109375" bestFit="1" customWidth="1"/>
    <col min="7" max="7" width="17.7109375" bestFit="1" customWidth="1"/>
    <col min="8" max="8" width="9.42578125" bestFit="1" customWidth="1"/>
    <col min="9" max="9" width="9" bestFit="1" customWidth="1"/>
    <col min="10" max="10" width="23" bestFit="1" customWidth="1"/>
    <col min="11" max="11" width="13.85546875" bestFit="1" customWidth="1"/>
  </cols>
  <sheetData>
    <row r="1" spans="1:11" x14ac:dyDescent="0.25">
      <c r="A1" t="s">
        <v>28</v>
      </c>
      <c r="B1" t="s">
        <v>1</v>
      </c>
      <c r="C1" t="s">
        <v>2</v>
      </c>
      <c r="D1" t="s">
        <v>29</v>
      </c>
      <c r="E1" t="s">
        <v>30</v>
      </c>
      <c r="F1" t="s">
        <v>31</v>
      </c>
      <c r="G1" t="s">
        <v>32</v>
      </c>
      <c r="H1" t="s">
        <v>33</v>
      </c>
      <c r="I1" t="s">
        <v>34</v>
      </c>
      <c r="J1" t="s">
        <v>35</v>
      </c>
      <c r="K1" t="s">
        <v>9</v>
      </c>
    </row>
    <row r="2" spans="1:11" x14ac:dyDescent="0.25">
      <c r="A2">
        <v>1</v>
      </c>
      <c r="B2">
        <v>0</v>
      </c>
      <c r="C2" s="1" t="s">
        <v>14</v>
      </c>
      <c r="D2" s="1" t="s">
        <v>36</v>
      </c>
      <c r="E2">
        <v>123.2</v>
      </c>
      <c r="F2">
        <v>42</v>
      </c>
      <c r="G2">
        <v>3</v>
      </c>
      <c r="H2">
        <v>123</v>
      </c>
      <c r="I2">
        <v>123</v>
      </c>
      <c r="J2" s="4">
        <v>46031.610173611109</v>
      </c>
      <c r="K2" s="4">
        <v>46031.610173611109</v>
      </c>
    </row>
    <row r="3" spans="1:11" x14ac:dyDescent="0.25">
      <c r="A3">
        <v>2</v>
      </c>
      <c r="B3">
        <v>2</v>
      </c>
      <c r="C3" s="1" t="s">
        <v>20</v>
      </c>
      <c r="D3" s="1" t="s">
        <v>36</v>
      </c>
      <c r="E3">
        <v>123.2</v>
      </c>
      <c r="F3">
        <v>42</v>
      </c>
      <c r="G3">
        <v>3</v>
      </c>
      <c r="H3">
        <v>123</v>
      </c>
      <c r="I3">
        <v>123</v>
      </c>
      <c r="J3" s="4">
        <v>46031.621724537035</v>
      </c>
      <c r="K3" s="4">
        <v>46031.621724537035</v>
      </c>
    </row>
    <row r="4" spans="1:11" x14ac:dyDescent="0.25">
      <c r="A4">
        <v>3</v>
      </c>
      <c r="B4">
        <v>3</v>
      </c>
      <c r="C4" s="1" t="s">
        <v>24</v>
      </c>
      <c r="D4" s="1" t="s">
        <v>36</v>
      </c>
      <c r="E4">
        <v>46.5</v>
      </c>
      <c r="F4">
        <v>72</v>
      </c>
      <c r="G4">
        <v>45</v>
      </c>
      <c r="H4">
        <v>123</v>
      </c>
      <c r="I4">
        <v>321</v>
      </c>
      <c r="J4" s="4">
        <v>46031.651620370372</v>
      </c>
      <c r="K4" s="4">
        <v>46031.651620370372</v>
      </c>
    </row>
    <row r="5" spans="1:11" x14ac:dyDescent="0.25">
      <c r="A5">
        <v>4</v>
      </c>
      <c r="B5">
        <v>5</v>
      </c>
      <c r="C5" s="1" t="s">
        <v>135</v>
      </c>
      <c r="D5" s="1" t="s">
        <v>36</v>
      </c>
      <c r="E5">
        <v>46.5</v>
      </c>
      <c r="F5">
        <v>72</v>
      </c>
      <c r="G5">
        <v>45</v>
      </c>
      <c r="H5">
        <v>123</v>
      </c>
      <c r="I5">
        <v>321</v>
      </c>
      <c r="J5" s="4">
        <v>46031.748032407406</v>
      </c>
      <c r="K5" s="4">
        <v>46031.748032407406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F01AF-71B2-472A-98B0-DA117BC01776}">
  <dimension ref="A1:N5"/>
  <sheetViews>
    <sheetView workbookViewId="0">
      <selection activeCell="G1" sqref="G1"/>
    </sheetView>
  </sheetViews>
  <sheetFormatPr defaultRowHeight="15" x14ac:dyDescent="0.25"/>
  <cols>
    <col min="1" max="1" width="17.7109375" bestFit="1" customWidth="1"/>
    <col min="2" max="2" width="12.42578125" bestFit="1" customWidth="1"/>
    <col min="3" max="3" width="15.85546875" bestFit="1" customWidth="1"/>
    <col min="4" max="4" width="17.7109375" bestFit="1" customWidth="1"/>
    <col min="5" max="5" width="14.42578125" bestFit="1" customWidth="1"/>
    <col min="6" max="6" width="25.140625" bestFit="1" customWidth="1"/>
    <col min="7" max="7" width="16.140625" bestFit="1" customWidth="1"/>
    <col min="8" max="8" width="16.42578125" bestFit="1" customWidth="1"/>
    <col min="9" max="9" width="16.5703125" bestFit="1" customWidth="1"/>
    <col min="10" max="10" width="13.85546875" bestFit="1" customWidth="1"/>
    <col min="11" max="11" width="8.5703125" bestFit="1" customWidth="1"/>
    <col min="12" max="12" width="24.5703125" bestFit="1" customWidth="1"/>
    <col min="13" max="13" width="22.42578125" bestFit="1" customWidth="1"/>
    <col min="14" max="14" width="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v>
      </c>
      <c r="B2">
        <v>0</v>
      </c>
      <c r="C2" s="1" t="s">
        <v>14</v>
      </c>
      <c r="D2" s="1" t="s">
        <v>15</v>
      </c>
      <c r="E2" s="1" t="s">
        <v>16</v>
      </c>
      <c r="F2" s="1" t="s">
        <v>17</v>
      </c>
      <c r="G2" s="1" t="s">
        <v>18</v>
      </c>
      <c r="H2" s="2">
        <v>46053</v>
      </c>
      <c r="I2" s="3">
        <v>6.9444444444444448E-2</v>
      </c>
      <c r="J2" s="4">
        <v>46031.609548611108</v>
      </c>
      <c r="K2" s="1" t="s">
        <v>19</v>
      </c>
      <c r="L2">
        <v>1</v>
      </c>
      <c r="M2">
        <v>1</v>
      </c>
      <c r="N2">
        <v>1</v>
      </c>
    </row>
    <row r="3" spans="1:14" x14ac:dyDescent="0.25">
      <c r="A3">
        <v>2</v>
      </c>
      <c r="B3">
        <v>2</v>
      </c>
      <c r="C3" s="1" t="s">
        <v>20</v>
      </c>
      <c r="D3" s="1" t="s">
        <v>21</v>
      </c>
      <c r="E3" s="1" t="s">
        <v>22</v>
      </c>
      <c r="F3" s="1" t="s">
        <v>23</v>
      </c>
      <c r="G3" s="1" t="s">
        <v>18</v>
      </c>
      <c r="H3" s="2">
        <v>46053</v>
      </c>
      <c r="I3" s="3">
        <v>0.29166666666666669</v>
      </c>
      <c r="J3" s="4">
        <v>46031.621608796297</v>
      </c>
      <c r="K3" s="1" t="s">
        <v>19</v>
      </c>
      <c r="L3">
        <v>1</v>
      </c>
      <c r="M3">
        <v>1</v>
      </c>
      <c r="N3">
        <v>1</v>
      </c>
    </row>
    <row r="4" spans="1:14" x14ac:dyDescent="0.25">
      <c r="A4">
        <v>3</v>
      </c>
      <c r="B4">
        <v>3</v>
      </c>
      <c r="C4" s="1" t="s">
        <v>24</v>
      </c>
      <c r="D4" s="1" t="s">
        <v>25</v>
      </c>
      <c r="E4" s="1" t="s">
        <v>26</v>
      </c>
      <c r="F4" s="1" t="s">
        <v>27</v>
      </c>
      <c r="G4" s="1" t="s">
        <v>18</v>
      </c>
      <c r="H4" s="2">
        <v>46053</v>
      </c>
      <c r="I4" s="3">
        <v>0.81944444444444442</v>
      </c>
      <c r="J4" s="4">
        <v>46031.651342592595</v>
      </c>
      <c r="K4" s="1" t="s">
        <v>19</v>
      </c>
      <c r="L4">
        <v>1</v>
      </c>
      <c r="M4">
        <v>1</v>
      </c>
      <c r="N4">
        <v>1</v>
      </c>
    </row>
    <row r="5" spans="1:14" x14ac:dyDescent="0.25">
      <c r="A5">
        <v>4</v>
      </c>
      <c r="B5">
        <v>5</v>
      </c>
      <c r="C5" s="1" t="s">
        <v>135</v>
      </c>
      <c r="D5" s="1" t="s">
        <v>150</v>
      </c>
      <c r="E5" s="1" t="s">
        <v>148</v>
      </c>
      <c r="F5" s="1" t="s">
        <v>147</v>
      </c>
      <c r="G5" s="1" t="s">
        <v>18</v>
      </c>
      <c r="H5" s="2">
        <v>46032</v>
      </c>
      <c r="I5" s="3">
        <v>0.41666666666666669</v>
      </c>
      <c r="J5" s="4">
        <v>46031.747893518521</v>
      </c>
      <c r="K5" s="1" t="s">
        <v>19</v>
      </c>
      <c r="L5">
        <v>1</v>
      </c>
      <c r="M5">
        <v>1</v>
      </c>
      <c r="N5">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5117F-6A95-41FA-A2E9-5080D7439D8E}">
  <dimension ref="F17:AA39"/>
  <sheetViews>
    <sheetView tabSelected="1" zoomScale="85" zoomScaleNormal="85" workbookViewId="0">
      <selection activeCell="V43" sqref="V43"/>
    </sheetView>
  </sheetViews>
  <sheetFormatPr defaultRowHeight="15" x14ac:dyDescent="0.25"/>
  <cols>
    <col min="1" max="3" width="16.85546875" style="16" customWidth="1"/>
    <col min="4" max="16" width="9.140625" style="16"/>
    <col min="17" max="17" width="11.28515625" style="16" customWidth="1"/>
    <col min="18" max="18" width="9.140625" style="16"/>
    <col min="19" max="19" width="9.7109375" style="16" bestFit="1" customWidth="1"/>
    <col min="20" max="22" width="9.140625" style="16"/>
    <col min="23" max="23" width="9.7109375" style="16" bestFit="1" customWidth="1"/>
    <col min="24" max="16384" width="9.140625" style="16"/>
  </cols>
  <sheetData>
    <row r="17" spans="6:27" x14ac:dyDescent="0.25">
      <c r="Z17" s="17"/>
    </row>
    <row r="18" spans="6:27" x14ac:dyDescent="0.25">
      <c r="F18" s="17"/>
    </row>
    <row r="19" spans="6:27" x14ac:dyDescent="0.25">
      <c r="AA19" s="18" t="s">
        <v>131</v>
      </c>
    </row>
    <row r="35" spans="18:24" x14ac:dyDescent="0.25">
      <c r="R35" s="19"/>
      <c r="S35" s="19"/>
      <c r="T35" s="19"/>
      <c r="V35" s="19"/>
      <c r="W35" s="19"/>
      <c r="X35" s="19"/>
    </row>
    <row r="36" spans="18:24" x14ac:dyDescent="0.25">
      <c r="R36" s="19"/>
      <c r="S36" s="19"/>
      <c r="T36" s="19"/>
      <c r="V36" s="19"/>
      <c r="W36" s="19"/>
      <c r="X36" s="19"/>
    </row>
    <row r="37" spans="18:24" x14ac:dyDescent="0.25">
      <c r="R37" s="19"/>
      <c r="S37" s="19"/>
      <c r="T37" s="19"/>
      <c r="V37" s="19"/>
      <c r="W37" s="19"/>
      <c r="X37" s="19"/>
    </row>
    <row r="38" spans="18:24" ht="72.75" x14ac:dyDescent="1.35">
      <c r="R38" s="19"/>
      <c r="S38" s="20">
        <f>GETPIVOTDATA("patient_id",Sheet4!$A$108)</f>
        <v>5</v>
      </c>
      <c r="T38" s="19"/>
      <c r="V38" s="19"/>
      <c r="W38" s="20">
        <f>GETPIVOTDATA("appointment_id",Sheet4!$C$108)</f>
        <v>4</v>
      </c>
      <c r="X38" s="19"/>
    </row>
    <row r="39" spans="18:24" x14ac:dyDescent="0.25">
      <c r="R39" s="19"/>
      <c r="S39" s="19"/>
      <c r="T39" s="19"/>
      <c r="V39" s="19"/>
      <c r="W39" s="19"/>
      <c r="X39"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710AE-CE57-4F3F-B133-14EFABA71589}">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55BB56-8B3A-42CC-8080-FB318997EE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pending_patient</vt:lpstr>
      <vt:lpstr>patient_prescription</vt:lpstr>
      <vt:lpstr>patient_diagnosis</vt:lpstr>
      <vt:lpstr>Sheet4</vt:lpstr>
      <vt:lpstr>consultation_form</vt:lpstr>
      <vt:lpstr>assessments</vt:lpstr>
      <vt:lpstr>appointments</vt:lpstr>
      <vt:lpstr>dashboard ni bay</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Odarve</dc:creator>
  <cp:lastModifiedBy>Vincent Odarve</cp:lastModifiedBy>
  <dcterms:created xsi:type="dcterms:W3CDTF">2026-01-09T08:07:43Z</dcterms:created>
  <dcterms:modified xsi:type="dcterms:W3CDTF">2026-01-09T10:00:34Z</dcterms:modified>
</cp:coreProperties>
</file>